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teus Neto\Downloads\"/>
    </mc:Choice>
  </mc:AlternateContent>
  <bookViews>
    <workbookView xWindow="0" yWindow="0" windowWidth="20490" windowHeight="7530" activeTab="3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62913"/>
  <pivotCaches>
    <pivotCache cacheId="0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3" l="1"/>
  <c r="G11" i="3"/>
</calcChain>
</file>

<file path=xl/sharedStrings.xml><?xml version="1.0" encoding="utf-8"?>
<sst xmlns="http://schemas.openxmlformats.org/spreadsheetml/2006/main" count="2044" uniqueCount="335">
  <si>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</si>
  <si>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</si>
  <si>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</si>
  <si>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</si>
  <si>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</si>
  <si>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</si>
  <si>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</si>
  <si>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</si>
  <si>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</si>
  <si>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</si>
  <si>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</si>
  <si>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</si>
  <si>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</si>
  <si>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</si>
  <si>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</si>
  <si>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</si>
  <si>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</si>
  <si>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</si>
  <si>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</si>
  <si>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</si>
  <si>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</si>
  <si>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</si>
  <si>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</si>
  <si>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</si>
  <si>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</si>
  <si>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</si>
  <si>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</si>
  <si>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</si>
  <si>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</si>
  <si>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</si>
  <si>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</si>
  <si>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</si>
  <si>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</si>
  <si>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</si>
  <si>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</si>
  <si>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</si>
  <si>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</si>
  <si>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</si>
  <si>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</si>
  <si>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</si>
  <si>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</si>
  <si>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</si>
  <si>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</si>
  <si>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</si>
  <si>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</si>
  <si>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</si>
  <si>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</si>
  <si>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</si>
  <si>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</si>
  <si>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</si>
  <si>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</si>
  <si>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</si>
  <si>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</si>
  <si>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</si>
  <si>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</si>
  <si>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</si>
  <si>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</si>
  <si>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</si>
  <si>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</si>
  <si>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</si>
  <si>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</si>
  <si>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</si>
  <si>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</si>
  <si>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</si>
  <si>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</si>
  <si>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</si>
  <si>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</si>
  <si>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</si>
  <si>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</si>
  <si>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</si>
  <si>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</si>
  <si>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</si>
  <si>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</si>
  <si>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</si>
  <si>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</si>
  <si>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</si>
  <si>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</si>
  <si>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</si>
  <si>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</si>
  <si>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</si>
  <si>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</si>
  <si>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</si>
  <si>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</si>
  <si>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</si>
  <si>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</si>
  <si>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</si>
  <si>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</si>
  <si>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</si>
  <si>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</si>
  <si>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</si>
  <si>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</si>
  <si>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</si>
  <si>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</si>
  <si>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</si>
  <si>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</si>
  <si>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</si>
  <si>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</si>
  <si>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</si>
  <si>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</si>
  <si>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</si>
  <si>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</si>
  <si>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</si>
  <si>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</si>
  <si>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</si>
  <si>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</si>
  <si>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</si>
  <si>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</si>
  <si>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</si>
  <si>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</si>
  <si>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</si>
  <si>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</si>
  <si>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</si>
  <si>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</si>
  <si>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</si>
  <si>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</si>
  <si>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</si>
  <si>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</si>
  <si>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</si>
  <si>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</si>
  <si>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</si>
  <si>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</si>
  <si>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</si>
  <si>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</si>
  <si>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</si>
  <si>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</si>
  <si>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</si>
  <si>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</si>
  <si>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</si>
  <si>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</si>
  <si>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</si>
  <si>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</si>
  <si>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</si>
  <si>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</si>
  <si>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</si>
  <si>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</si>
  <si>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</si>
  <si>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</si>
  <si>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</si>
  <si>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</si>
  <si>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</si>
  <si>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</si>
  <si>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</si>
  <si>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</si>
  <si>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</si>
  <si>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</si>
  <si>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</si>
  <si>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</si>
  <si>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</si>
  <si>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</si>
  <si>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</si>
  <si>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</si>
  <si>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</si>
  <si>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</si>
  <si>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</si>
  <si>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</si>
  <si>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</si>
  <si>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</si>
  <si>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</si>
  <si>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</si>
  <si>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</si>
  <si>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</si>
  <si>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</si>
  <si>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</si>
  <si>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</si>
  <si>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</si>
  <si>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</si>
  <si>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</si>
  <si>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</si>
  <si>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</si>
  <si>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</si>
  <si>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</si>
  <si>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</si>
  <si>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</si>
  <si>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</si>
  <si>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</si>
  <si>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</si>
  <si>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</si>
  <si>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</si>
  <si>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</si>
  <si>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</si>
  <si>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</si>
  <si>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</si>
  <si>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</si>
  <si>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</si>
  <si>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</si>
  <si>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</si>
  <si>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</si>
  <si>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</si>
  <si>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</si>
  <si>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</si>
  <si>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</si>
  <si>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</si>
  <si>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</si>
  <si>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</si>
  <si>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</si>
  <si>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</si>
  <si>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</si>
  <si>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</si>
  <si>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</si>
  <si>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</si>
  <si>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</si>
  <si>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</si>
  <si>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</si>
  <si>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</si>
  <si>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</si>
  <si>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</si>
  <si>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</si>
  <si>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</si>
  <si>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</si>
  <si>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</si>
  <si>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</si>
  <si>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</si>
  <si>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</si>
  <si>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</si>
  <si>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</si>
  <si>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</si>
  <si>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</si>
  <si>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</si>
  <si>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</si>
  <si>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</si>
  <si>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</si>
  <si>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</si>
  <si>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</si>
  <si>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</si>
  <si>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</si>
  <si>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</si>
  <si>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</si>
  <si>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</si>
  <si>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</si>
  <si>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</si>
  <si>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</si>
  <si>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</si>
  <si>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</si>
  <si>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</si>
  <si>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</si>
  <si>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</si>
  <si>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</si>
  <si>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</si>
  <si>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</si>
  <si>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</si>
  <si>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</si>
  <si>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</si>
  <si>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</si>
  <si>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</si>
  <si>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</si>
  <si>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</si>
  <si>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</si>
  <si>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</si>
  <si>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</si>
  <si>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</si>
  <si>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</si>
  <si>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</si>
  <si>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</si>
  <si>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</si>
  <si>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</si>
  <si>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</si>
  <si>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</si>
  <si>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</si>
  <si>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</si>
  <si>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</si>
  <si>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</si>
  <si>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</si>
  <si>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</si>
  <si>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</si>
  <si>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</si>
  <si>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</si>
  <si>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</si>
  <si>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</si>
  <si>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</si>
  <si>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</si>
  <si>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</si>
  <si>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</si>
  <si>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</si>
  <si>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</si>
  <si>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</si>
  <si>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</si>
  <si>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</si>
  <si>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</si>
  <si>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</si>
  <si>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</si>
  <si>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</si>
  <si>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</si>
  <si>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</si>
  <si>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</si>
  <si>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</si>
  <si>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</si>
  <si>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</si>
  <si>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</si>
  <si>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</si>
  <si>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</si>
  <si>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</si>
  <si>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</si>
  <si>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</si>
  <si>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</si>
  <si>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</si>
  <si>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</si>
  <si>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</si>
  <si>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</si>
  <si>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</si>
  <si>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</si>
  <si>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</si>
  <si>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</si>
  <si>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</si>
  <si>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</si>
  <si>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</si>
  <si>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</si>
  <si>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</si>
  <si>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</si>
  <si>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</si>
  <si>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</si>
  <si>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</si>
  <si>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</si>
  <si>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</si>
  <si>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</si>
  <si>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</si>
  <si>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</si>
  <si>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Contagem de Total Value</t>
  </si>
  <si>
    <t>Soma de Coupon Value</t>
  </si>
  <si>
    <t>Soma de EA Play Season Pass</t>
  </si>
  <si>
    <t>Soma de Minecraft Season Pass Price</t>
  </si>
  <si>
    <t>Tickt Médio</t>
  </si>
  <si>
    <t>Faturamento por periodo</t>
  </si>
  <si>
    <t xml:space="preserve"> XBOX GAME PASS SUBSCRIPTIONS SALES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</si>
  <si>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</si>
  <si>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</si>
  <si>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</si>
  <si>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</si>
  <si>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</si>
  <si>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</si>
  <si>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</si>
  <si>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</si>
  <si>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</si>
  <si>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</si>
  <si>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fev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</si>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</sst>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5" formatCode="&quot;R$&quot;\ #,##0.00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" fontId="0" fillId="0" borderId="0" xfId="0" applyNumberFormat="1"/>
    <xf numFmtId="0" fontId="0" fillId="7" borderId="0" xfId="0" applyFill="1" applyBorder="1"/>
    <xf numFmtId="44" fontId="0" fillId="0" borderId="0" xfId="2" applyFont="1"/>
    <xf numFmtId="0" fontId="0" fillId="8" borderId="0" xfId="0" applyFill="1"/>
    <xf numFmtId="0" fontId="0" fillId="8" borderId="0" xfId="0" applyFill="1" applyBorder="1"/>
    <xf numFmtId="0" fontId="0" fillId="4" borderId="0" xfId="0" applyFill="1" applyAlignment="1"/>
    <xf numFmtId="0" fontId="0" fillId="8" borderId="2" xfId="0" applyFill="1" applyBorder="1"/>
    <xf numFmtId="0" fontId="0" fillId="0" borderId="0" xfId="0" applyAlignment="1">
      <alignment horizontal="center"/>
    </xf>
    <xf numFmtId="0" fontId="4" fillId="8" borderId="2" xfId="0" applyFont="1" applyFill="1" applyBorder="1" applyAlignment="1">
      <alignment horizontal="center" vertical="center"/>
    </xf>
    <xf numFmtId="165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511">
    <dxf>
      <numFmt numFmtId="34" formatCode="_-&quot;R$&quot;\ * #,##0.00_-;\-&quot;R$&quot;\ * #,##0.00_-;_-&quot;R$&quot;\ * &quot;-&quot;??_-;_-@_-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64" formatCode="0.0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64" formatCode="0.0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64" formatCode="0.0"/>
    </dxf>
    <dxf>
      <numFmt numFmtId="2" formatCode="0.00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64" formatCode="0.0"/>
    </dxf>
    <dxf>
      <numFmt numFmtId="2" formatCode="0.00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  <fill>
        <patternFill>
          <fgColor rgb="FF22C55E"/>
        </patternFill>
      </fill>
      <border diagonalUp="0" diagonalDown="0">
        <left/>
        <right/>
        <top/>
        <bottom/>
        <vertical/>
        <horizontal/>
      </border>
    </dxf>
    <dxf>
      <fill>
        <gradientFill degree="90">
          <stop position="0">
            <color rgb="FF22C55E"/>
          </stop>
          <stop position="1">
            <color rgb="FF22C55E"/>
          </stop>
        </gradientFill>
      </fill>
    </dxf>
    <dxf>
      <font>
        <b/>
        <i val="0"/>
      </font>
      <fill>
        <patternFill>
          <fgColor rgb="FF22C55E"/>
        </patternFill>
      </fill>
      <border diagonalUp="0" diagonalDown="0">
        <left/>
        <right/>
        <top/>
        <bottom/>
        <vertical/>
        <horizontal/>
      </border>
    </dxf>
    <dxf>
      <fill>
        <patternFill>
          <f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  <border diagonalUp="0" diagonalDown="0">
        <left/>
        <right/>
        <top/>
        <bottom/>
        <vertical/>
        <horizontal/>
      </border>
    </dxf>
    <dxf>
      <fill>
        <patternFill patternType="none">
          <fgColor indexed="64"/>
          <bgColor auto="1"/>
        </patternFill>
      </fill>
    </dxf>
  </dxfs>
  <tableStyles count="5" defaultTableStyle="TableStyleMedium2" defaultPivotStyle="PivotStyleLight16">
    <tableStyle name="Estilo de Segmentação de Dados 1" pivot="0" table="0" count="2">
      <tableStyleElement type="wholeTable" dxfId="510"/>
      <tableStyleElement type="headerRow" dxfId="509"/>
    </tableStyle>
    <tableStyle name="Estilo de Segmentação de Dados 2" pivot="0" table="0" count="4">
      <tableStyleElement type="wholeTable" dxfId="508"/>
      <tableStyleElement type="headerRow" dxfId="507"/>
    </tableStyle>
    <tableStyle name="Estilo de Segmentação de Dados 3" pivot="0" table="0" count="1">
      <tableStyleElement type="wholeTable" dxfId="506"/>
    </tableStyle>
    <tableStyle name="Estilo de Segmentação de Dados 4" pivot="0" table="0" count="1">
      <tableStyleElement type="wholeTable" dxfId="505"/>
    </tableStyle>
    <tableStyle name="SlicerStyleLight6 2" pivot="0" table="0" count="10">
      <tableStyleElement type="wholeTable" dxfId="504"/>
      <tableStyleElement type="headerRow" dxfId="503"/>
    </tableStyle>
  </tableStyles>
  <colors>
    <mruColors>
      <color rgb="FF22C55E"/>
      <color rgb="FFA7D971"/>
      <color rgb="FF5BF6A8"/>
      <color rgb="FFE8E6E9"/>
      <color rgb="FF000000"/>
      <color rgb="FFE0E0E0"/>
      <color rgb="FFEDEDED"/>
      <color rgb="FFF7F8FC"/>
      <color rgb="FF2AE6B1"/>
      <color rgb="FF9BC848"/>
    </mruColors>
  </colors>
  <extLst>
    <ext xmlns:x14="http://schemas.microsoft.com/office/spreadsheetml/2009/9/main" uri="{46F421CA-312F-682f-3DD2-61675219B42D}">
      <x14:dxfs count="10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ill>
            <patternFill>
              <fgColor rgb="FF22C55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auto="1"/>
          </font>
          <fill>
            <patternFill>
              <fgColor rgb="FF22C55E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>
          <x14:slicerStyleElements>
            <x14:slicerStyleElement type="selectedItemWithData" dxfId="9"/>
            <x14:slicerStyleElement type="hoveredSelectedItemWithData" dxfId="8"/>
          </x14:slicerStyleElements>
        </x14:slicerStyle>
        <x14:slicerStyle name="Estilo de Segmentação de Dados 3"/>
        <x14:slicerStyle name="Estilo de Segmentação de Dados 4"/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[dash.xlsx]C̳álculos!Tabela dinâmica6</c:name>
    <c:fmtId val="5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1.1111111111111059E-2"/>
              <c:y val="0.1043653397491980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2.7777777777777779E-3"/>
              <c:y val="-1.506598133566646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2.5462668816039986E-17"/>
              <c:y val="-1.04997812773403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1.1111111111111098E-2"/>
              <c:y val="-2.74106882473024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C̳álculos!$D$16</c:f>
              <c:strCache>
                <c:ptCount val="1"/>
                <c:pt idx="0">
                  <c:v>Soma de Total Value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A77-4184-BDC0-E19A73F90DB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A77-4184-BDC0-E19A73F90DB3}"/>
              </c:ext>
            </c:extLst>
          </c:dPt>
          <c:dLbls>
            <c:dLbl>
              <c:idx val="0"/>
              <c:layout>
                <c:manualLayout>
                  <c:x val="-1.1111111111111098E-2"/>
                  <c:y val="-2.741068824730242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FA77-4184-BDC0-E19A73F90DB3}"/>
                </c:ext>
              </c:extLst>
            </c:dLbl>
            <c:dLbl>
              <c:idx val="1"/>
              <c:layout>
                <c:manualLayout>
                  <c:x val="-2.7777777777777779E-3"/>
                  <c:y val="-1.506598133566646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FA77-4184-BDC0-E19A73F90D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C̳álculos!$B$17:$B$20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C̳álculos!$D$17:$D$20</c:f>
              <c:numCache>
                <c:formatCode>_("R$"* #,##0.00_);_("R$"* \(#,##0.00\);_("R$"* "-"??_);_(@_)</c:formatCode>
                <c:ptCount val="3"/>
                <c:pt idx="0">
                  <c:v>132</c:v>
                </c:pt>
                <c:pt idx="1">
                  <c:v>395</c:v>
                </c:pt>
                <c:pt idx="2">
                  <c:v>1781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77-4184-BDC0-E19A73F90DB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93776656"/>
        <c:axId val="1793777072"/>
      </c:barChart>
      <c:barChart>
        <c:barDir val="col"/>
        <c:grouping val="clustered"/>
        <c:varyColors val="0"/>
        <c:ser>
          <c:idx val="0"/>
          <c:order val="0"/>
          <c:tx>
            <c:strRef>
              <c:f>C̳álculos!$C$16</c:f>
              <c:strCache>
                <c:ptCount val="1"/>
                <c:pt idx="0">
                  <c:v>Soma de Coupon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A77-4184-BDC0-E19A73F90DB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A77-4184-BDC0-E19A73F90DB3}"/>
              </c:ext>
            </c:extLst>
          </c:dPt>
          <c:dLbls>
            <c:dLbl>
              <c:idx val="0"/>
              <c:layout>
                <c:manualLayout>
                  <c:x val="-2.5462668816039986E-17"/>
                  <c:y val="-1.049978127734033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FA77-4184-BDC0-E19A73F90DB3}"/>
                </c:ext>
              </c:extLst>
            </c:dLbl>
            <c:dLbl>
              <c:idx val="1"/>
              <c:layout>
                <c:manualLayout>
                  <c:x val="-1.1111111111111059E-2"/>
                  <c:y val="0.1043653397491980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FA77-4184-BDC0-E19A73F90D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C̳álculos!$B$17:$B$20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C̳álculos!$C$17:$C$20</c:f>
              <c:numCache>
                <c:formatCode>_("R$"* #,##0.00_);_("R$"* \(#,##0.00\);_("R$"* "-"??_);_(@_)</c:formatCode>
                <c:ptCount val="3"/>
                <c:pt idx="0">
                  <c:v>8</c:v>
                </c:pt>
                <c:pt idx="1">
                  <c:v>325</c:v>
                </c:pt>
                <c:pt idx="2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7-4184-BDC0-E19A73F90DB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46331200"/>
        <c:axId val="1906940336"/>
      </c:barChart>
      <c:catAx>
        <c:axId val="179377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3777072"/>
        <c:crosses val="autoZero"/>
        <c:auto val="1"/>
        <c:lblAlgn val="ctr"/>
        <c:lblOffset val="100"/>
        <c:noMultiLvlLbl val="0"/>
      </c:catAx>
      <c:valAx>
        <c:axId val="1793777072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93776656"/>
        <c:crosses val="autoZero"/>
        <c:crossBetween val="between"/>
      </c:valAx>
      <c:valAx>
        <c:axId val="19069403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2046331200"/>
        <c:crosses val="max"/>
        <c:crossBetween val="between"/>
      </c:valAx>
      <c:catAx>
        <c:axId val="2046331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06940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[dash.xlsx]C̳álculos!Tabela dinâmica7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2.6858517246702882E-2"/>
          <c:y val="0.15088779563302615"/>
          <c:w val="0.95779375861232408"/>
          <c:h val="0.687386830820358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C̳álculos!$C$28</c:f>
              <c:strCache>
                <c:ptCount val="1"/>
                <c:pt idx="0">
                  <c:v>Soma de Minecraft Season Pass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C̳álculos!$B$29:$B$32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C̳álculos!$C$29:$C$32</c:f>
              <c:numCache>
                <c:formatCode>"R$"\ #,##0.00</c:formatCode>
                <c:ptCount val="3"/>
                <c:pt idx="0">
                  <c:v>0</c:v>
                </c:pt>
                <c:pt idx="1">
                  <c:v>480</c:v>
                </c:pt>
                <c:pt idx="2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1-47CB-9779-7B6F5DF48561}"/>
            </c:ext>
          </c:extLst>
        </c:ser>
        <c:ser>
          <c:idx val="1"/>
          <c:order val="1"/>
          <c:tx>
            <c:strRef>
              <c:f>C̳álculos!$D$28</c:f>
              <c:strCache>
                <c:ptCount val="1"/>
                <c:pt idx="0">
                  <c:v>Soma de EA Play Season Pass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C̳álculos!$B$29:$B$32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C̳álculos!$D$29:$D$32</c:f>
              <c:numCache>
                <c:formatCode>"R$"\ 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81-47CB-9779-7B6F5DF485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2734784"/>
        <c:axId val="1832741856"/>
      </c:barChart>
      <c:catAx>
        <c:axId val="183273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2741856"/>
        <c:crosses val="autoZero"/>
        <c:auto val="1"/>
        <c:lblAlgn val="ctr"/>
        <c:lblOffset val="100"/>
        <c:noMultiLvlLbl val="0"/>
      </c:catAx>
      <c:valAx>
        <c:axId val="1832741856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83273478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[dash.xlsx]C̳álculos!Tabela dinâmica1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C̳álculos!$C$36:$C$37</c:f>
              <c:strCache>
                <c:ptCount val="1"/>
                <c:pt idx="0">
                  <c:v>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C̳álculos!$B$38:$B$49</c:f>
              <c:strCache>
                <c:ptCount val="11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C̳álculos!$C$38:$C$49</c:f>
              <c:numCache>
                <c:formatCode>0</c:formatCode>
                <c:ptCount val="11"/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33-4074-98CD-0BBD5F577BA6}"/>
            </c:ext>
          </c:extLst>
        </c:ser>
        <c:ser>
          <c:idx val="1"/>
          <c:order val="1"/>
          <c:tx>
            <c:strRef>
              <c:f>C̳álculos!$D$36:$D$37</c:f>
              <c:strCache>
                <c:ptCount val="1"/>
                <c:pt idx="0">
                  <c:v>Standard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C̳álculos!$B$38:$B$49</c:f>
              <c:strCache>
                <c:ptCount val="11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C̳álculos!$D$38:$D$49</c:f>
              <c:numCache>
                <c:formatCode>0</c:formatCode>
                <c:ptCount val="11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33-4074-98CD-0BBD5F577BA6}"/>
            </c:ext>
          </c:extLst>
        </c:ser>
        <c:ser>
          <c:idx val="2"/>
          <c:order val="2"/>
          <c:tx>
            <c:strRef>
              <c:f>C̳álculos!$E$36:$E$37</c:f>
              <c:strCache>
                <c:ptCount val="1"/>
                <c:pt idx="0">
                  <c:v>Ultimate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C̳álculos!$B$38:$B$49</c:f>
              <c:strCache>
                <c:ptCount val="11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C̳álculos!$E$38:$E$49</c:f>
              <c:numCache>
                <c:formatCode>0</c:formatCode>
                <c:ptCount val="11"/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33-4074-98CD-0BBD5F577BA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50146512"/>
        <c:axId val="850144016"/>
      </c:lineChart>
      <c:catAx>
        <c:axId val="85014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0144016"/>
        <c:crosses val="autoZero"/>
        <c:auto val="1"/>
        <c:lblAlgn val="ctr"/>
        <c:lblOffset val="100"/>
        <c:noMultiLvlLbl val="0"/>
      </c:catAx>
      <c:valAx>
        <c:axId val="8501440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85014651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5" Type="http://schemas.openxmlformats.org/officeDocument/2006/relationships/image" Target="../media/image5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0</xdr:rowOff>
    </xdr:from>
    <xdr:to>
      <xdr:col>11</xdr:col>
      <xdr:colOff>304800</xdr:colOff>
      <xdr:row>3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304800</xdr:colOff>
      <xdr:row>3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1488280</xdr:colOff>
      <xdr:row>0</xdr:row>
      <xdr:rowOff>0</xdr:rowOff>
    </xdr:from>
    <xdr:to>
      <xdr:col>2</xdr:col>
      <xdr:colOff>416719</xdr:colOff>
      <xdr:row>4</xdr:row>
      <xdr:rowOff>81629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48" r="71988" b="176"/>
        <a:stretch/>
      </xdr:blipFill>
      <xdr:spPr>
        <a:xfrm>
          <a:off x="1488280" y="0"/>
          <a:ext cx="702470" cy="974598"/>
        </a:xfrm>
        <a:prstGeom prst="rect">
          <a:avLst/>
        </a:prstGeom>
      </xdr:spPr>
    </xdr:pic>
    <xdr:clientData/>
  </xdr:twoCellAnchor>
  <xdr:twoCellAnchor>
    <xdr:from>
      <xdr:col>2</xdr:col>
      <xdr:colOff>178594</xdr:colOff>
      <xdr:row>18</xdr:row>
      <xdr:rowOff>154780</xdr:rowOff>
    </xdr:from>
    <xdr:to>
      <xdr:col>10</xdr:col>
      <xdr:colOff>178594</xdr:colOff>
      <xdr:row>35</xdr:row>
      <xdr:rowOff>154780</xdr:rowOff>
    </xdr:to>
    <xdr:grpSp>
      <xdr:nvGrpSpPr>
        <xdr:cNvPr id="11" name="Agrupar 10"/>
        <xdr:cNvGrpSpPr/>
      </xdr:nvGrpSpPr>
      <xdr:grpSpPr>
        <a:xfrm>
          <a:off x="1952625" y="3595686"/>
          <a:ext cx="5524500" cy="3036094"/>
          <a:chOff x="1774031" y="1012031"/>
          <a:chExt cx="5524500" cy="3036094"/>
        </a:xfrm>
      </xdr:grpSpPr>
      <xdr:sp macro="" textlink="">
        <xdr:nvSpPr>
          <xdr:cNvPr id="5" name="Retângulo Arredondado 4"/>
          <xdr:cNvSpPr/>
        </xdr:nvSpPr>
        <xdr:spPr>
          <a:xfrm>
            <a:off x="1774031" y="1012031"/>
            <a:ext cx="5524500" cy="3036094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" name="Gráfico 3"/>
          <xdr:cNvGraphicFramePr>
            <a:graphicFrameLocks/>
          </xdr:cNvGraphicFramePr>
        </xdr:nvGraphicFramePr>
        <xdr:xfrm>
          <a:off x="2035969" y="1126331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6" name="CaixaDeTexto 5"/>
          <xdr:cNvSpPr txBox="1"/>
        </xdr:nvSpPr>
        <xdr:spPr>
          <a:xfrm>
            <a:off x="1774031" y="1012031"/>
            <a:ext cx="5524500" cy="416718"/>
          </a:xfrm>
          <a:prstGeom prst="flowChartAlternateProcess">
            <a:avLst/>
          </a:prstGeom>
          <a:solidFill>
            <a:srgbClr val="22C55E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pt-BR" sz="16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Desconto</a:t>
            </a:r>
            <a:r>
              <a:rPr lang="pt-BR" sz="16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aplicado em relação ao faturado</a:t>
            </a:r>
            <a:endParaRPr lang="pt-BR" sz="16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2</xdr:col>
      <xdr:colOff>463293</xdr:colOff>
      <xdr:row>6</xdr:row>
      <xdr:rowOff>11907</xdr:rowOff>
    </xdr:from>
    <xdr:to>
      <xdr:col>9</xdr:col>
      <xdr:colOff>120116</xdr:colOff>
      <xdr:row>15</xdr:row>
      <xdr:rowOff>166687</xdr:rowOff>
    </xdr:to>
    <xdr:sp macro="" textlink="">
      <xdr:nvSpPr>
        <xdr:cNvPr id="7" name="Retângulo Arredondado 6"/>
        <xdr:cNvSpPr/>
      </xdr:nvSpPr>
      <xdr:spPr>
        <a:xfrm>
          <a:off x="2237324" y="1131095"/>
          <a:ext cx="4490761" cy="1940717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538759</xdr:colOff>
      <xdr:row>7</xdr:row>
      <xdr:rowOff>404377</xdr:rowOff>
    </xdr:from>
    <xdr:to>
      <xdr:col>7</xdr:col>
      <xdr:colOff>592337</xdr:colOff>
      <xdr:row>14</xdr:row>
      <xdr:rowOff>5336</xdr:rowOff>
    </xdr:to>
    <xdr:sp macro="" textlink="C̳álculos!G11">
      <xdr:nvSpPr>
        <xdr:cNvPr id="8" name="Retângulo Arredondado 7"/>
        <xdr:cNvSpPr/>
      </xdr:nvSpPr>
      <xdr:spPr>
        <a:xfrm>
          <a:off x="3003353" y="1642627"/>
          <a:ext cx="2815828" cy="1089240"/>
        </a:xfrm>
        <a:prstGeom prst="round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38F0ACE-03A8-4D25-8795-77732124FE97}" type="TxLink">
            <a:rPr lang="en-US" sz="4000" b="0" i="0" u="none" strike="noStrike">
              <a:solidFill>
                <a:srgbClr val="22C55E"/>
              </a:solidFill>
              <a:latin typeface="Aptos Narrow"/>
            </a:rPr>
            <a:pPr algn="ctr"/>
            <a:t> R$ 27,15 </a:t>
          </a:fld>
          <a:endParaRPr lang="pt-BR" sz="4000">
            <a:solidFill>
              <a:srgbClr val="22C55E"/>
            </a:solidFill>
          </a:endParaRPr>
        </a:p>
      </xdr:txBody>
    </xdr:sp>
    <xdr:clientData/>
  </xdr:twoCellAnchor>
  <xdr:twoCellAnchor>
    <xdr:from>
      <xdr:col>2</xdr:col>
      <xdr:colOff>463293</xdr:colOff>
      <xdr:row>6</xdr:row>
      <xdr:rowOff>-1</xdr:rowOff>
    </xdr:from>
    <xdr:to>
      <xdr:col>9</xdr:col>
      <xdr:colOff>120116</xdr:colOff>
      <xdr:row>8</xdr:row>
      <xdr:rowOff>0</xdr:rowOff>
    </xdr:to>
    <xdr:sp macro="" textlink="">
      <xdr:nvSpPr>
        <xdr:cNvPr id="9" name="CaixaDeTexto 8"/>
        <xdr:cNvSpPr txBox="1"/>
      </xdr:nvSpPr>
      <xdr:spPr>
        <a:xfrm>
          <a:off x="2237324" y="1119187"/>
          <a:ext cx="4490761" cy="535782"/>
        </a:xfrm>
        <a:prstGeom prst="flowChartAlternateProcess">
          <a:avLst/>
        </a:prstGeom>
        <a:solidFill>
          <a:srgbClr val="22C55E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6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Ticket</a:t>
          </a:r>
          <a:r>
            <a:rPr lang="pt-BR" sz="16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Médio</a:t>
          </a:r>
          <a:endParaRPr lang="pt-BR" sz="16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10</xdr:col>
      <xdr:colOff>439479</xdr:colOff>
      <xdr:row>5</xdr:row>
      <xdr:rowOff>107155</xdr:rowOff>
    </xdr:from>
    <xdr:to>
      <xdr:col>17</xdr:col>
      <xdr:colOff>286802</xdr:colOff>
      <xdr:row>15</xdr:row>
      <xdr:rowOff>130967</xdr:rowOff>
    </xdr:to>
    <xdr:grpSp>
      <xdr:nvGrpSpPr>
        <xdr:cNvPr id="14" name="Agrupar 13"/>
        <xdr:cNvGrpSpPr/>
      </xdr:nvGrpSpPr>
      <xdr:grpSpPr>
        <a:xfrm>
          <a:off x="7738010" y="1095374"/>
          <a:ext cx="4490761" cy="1940718"/>
          <a:chOff x="7417594" y="881063"/>
          <a:chExt cx="4405313" cy="2274093"/>
        </a:xfrm>
      </xdr:grpSpPr>
      <xdr:sp macro="" textlink="">
        <xdr:nvSpPr>
          <xdr:cNvPr id="15" name="Retângulo Arredondado 14"/>
          <xdr:cNvSpPr/>
        </xdr:nvSpPr>
        <xdr:spPr>
          <a:xfrm>
            <a:off x="7417594" y="881063"/>
            <a:ext cx="4405313" cy="2274093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H8">
        <xdr:nvSpPr>
          <xdr:cNvPr id="16" name="Retângulo Arredondado 15"/>
          <xdr:cNvSpPr/>
        </xdr:nvSpPr>
        <xdr:spPr>
          <a:xfrm>
            <a:off x="8044950" y="1452563"/>
            <a:ext cx="3150600" cy="127635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D558BB6-52F6-4B30-9B91-853CC3131FF6}" type="TxLink">
              <a:rPr lang="en-US" sz="40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R$ 2.308,00 </a:t>
            </a:fld>
            <a:endParaRPr lang="pt-BR" sz="11500">
              <a:solidFill>
                <a:srgbClr val="22C55E"/>
              </a:solidFill>
            </a:endParaRPr>
          </a:p>
        </xdr:txBody>
      </xdr:sp>
      <xdr:sp macro="" textlink="">
        <xdr:nvSpPr>
          <xdr:cNvPr id="17" name="CaixaDeTexto 16"/>
          <xdr:cNvSpPr txBox="1"/>
        </xdr:nvSpPr>
        <xdr:spPr>
          <a:xfrm>
            <a:off x="7417594" y="886466"/>
            <a:ext cx="4405313" cy="566097"/>
          </a:xfrm>
          <a:prstGeom prst="flowChartAlternateProcess">
            <a:avLst/>
          </a:prstGeom>
          <a:solidFill>
            <a:srgbClr val="22C55E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6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faturamento por contrato</a:t>
            </a:r>
          </a:p>
        </xdr:txBody>
      </xdr:sp>
    </xdr:grpSp>
    <xdr:clientData/>
  </xdr:twoCellAnchor>
  <xdr:twoCellAnchor>
    <xdr:from>
      <xdr:col>10</xdr:col>
      <xdr:colOff>404813</xdr:colOff>
      <xdr:row>16</xdr:row>
      <xdr:rowOff>0</xdr:rowOff>
    </xdr:from>
    <xdr:to>
      <xdr:col>21</xdr:col>
      <xdr:colOff>404812</xdr:colOff>
      <xdr:row>38</xdr:row>
      <xdr:rowOff>65483</xdr:rowOff>
    </xdr:to>
    <xdr:grpSp>
      <xdr:nvGrpSpPr>
        <xdr:cNvPr id="3" name="Agrupar 2"/>
        <xdr:cNvGrpSpPr/>
      </xdr:nvGrpSpPr>
      <xdr:grpSpPr>
        <a:xfrm>
          <a:off x="7703344" y="3083719"/>
          <a:ext cx="7405687" cy="3994545"/>
          <a:chOff x="7703344" y="3042046"/>
          <a:chExt cx="7405687" cy="3994545"/>
        </a:xfrm>
      </xdr:grpSpPr>
      <xdr:sp macro="" textlink="">
        <xdr:nvSpPr>
          <xdr:cNvPr id="19" name="Retângulo Arredondado 18"/>
          <xdr:cNvSpPr/>
        </xdr:nvSpPr>
        <xdr:spPr>
          <a:xfrm>
            <a:off x="7703344" y="3107530"/>
            <a:ext cx="7405687" cy="3929061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13" name="Gráfico 12"/>
          <xdr:cNvGraphicFramePr>
            <a:graphicFrameLocks/>
          </xdr:cNvGraphicFramePr>
        </xdr:nvGraphicFramePr>
        <xdr:xfrm>
          <a:off x="8155779" y="3155158"/>
          <a:ext cx="6619874" cy="375046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21" name="CaixaDeTexto 20"/>
          <xdr:cNvSpPr txBox="1">
            <a:spLocks/>
          </xdr:cNvSpPr>
        </xdr:nvSpPr>
        <xdr:spPr>
          <a:xfrm>
            <a:off x="7703344" y="3042046"/>
            <a:ext cx="7405687" cy="648891"/>
          </a:xfrm>
          <a:prstGeom prst="flowChartAlternateProcess">
            <a:avLst/>
          </a:prstGeom>
          <a:solidFill>
            <a:srgbClr val="22C55E"/>
          </a:solidFill>
          <a:ln w="9525" cmpd="sng">
            <a:noFill/>
          </a:ln>
          <a:effectLst>
            <a:softEdge rad="25400"/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lang="pt-BR" sz="16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Faturamento por</a:t>
            </a:r>
            <a:r>
              <a:rPr lang="pt-BR" sz="16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pacote</a:t>
            </a:r>
            <a:endParaRPr lang="pt-BR" sz="16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10</xdr:col>
      <xdr:colOff>178594</xdr:colOff>
      <xdr:row>40</xdr:row>
      <xdr:rowOff>0</xdr:rowOff>
    </xdr:from>
    <xdr:to>
      <xdr:col>21</xdr:col>
      <xdr:colOff>178593</xdr:colOff>
      <xdr:row>61</xdr:row>
      <xdr:rowOff>178592</xdr:rowOff>
    </xdr:to>
    <xdr:sp macro="" textlink="">
      <xdr:nvSpPr>
        <xdr:cNvPr id="27" name="Retângulo Arredondado 26"/>
        <xdr:cNvSpPr/>
      </xdr:nvSpPr>
      <xdr:spPr>
        <a:xfrm>
          <a:off x="7477125" y="7369969"/>
          <a:ext cx="7405687" cy="3929061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</xdr:col>
      <xdr:colOff>202406</xdr:colOff>
      <xdr:row>2</xdr:row>
      <xdr:rowOff>190497</xdr:rowOff>
    </xdr:from>
    <xdr:to>
      <xdr:col>9</xdr:col>
      <xdr:colOff>285631</xdr:colOff>
      <xdr:row>5</xdr:row>
      <xdr:rowOff>15084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1726406" y="773903"/>
          <a:ext cx="51671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21/01/2026 01:00:00</a:t>
          </a:r>
        </a:p>
      </xdr:txBody>
    </xdr:sp>
    <xdr:clientData/>
  </xdr:twoCellAnchor>
  <xdr:twoCellAnchor>
    <xdr:from>
      <xdr:col>10</xdr:col>
      <xdr:colOff>463287</xdr:colOff>
      <xdr:row>42</xdr:row>
      <xdr:rowOff>47625</xdr:rowOff>
    </xdr:from>
    <xdr:to>
      <xdr:col>21</xdr:col>
      <xdr:colOff>71434</xdr:colOff>
      <xdr:row>60</xdr:row>
      <xdr:rowOff>154781</xdr:rowOff>
    </xdr:to>
    <xdr:graphicFrame macro="">
      <xdr:nvGraphicFramePr>
        <xdr:cNvPr id="23" name="Gráfico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190501</xdr:colOff>
      <xdr:row>40</xdr:row>
      <xdr:rowOff>0</xdr:rowOff>
    </xdr:from>
    <xdr:to>
      <xdr:col>21</xdr:col>
      <xdr:colOff>178593</xdr:colOff>
      <xdr:row>42</xdr:row>
      <xdr:rowOff>107156</xdr:rowOff>
    </xdr:to>
    <xdr:sp macro="" textlink="">
      <xdr:nvSpPr>
        <xdr:cNvPr id="10" name="CaixaDeTexto 9"/>
        <xdr:cNvSpPr txBox="1"/>
      </xdr:nvSpPr>
      <xdr:spPr>
        <a:xfrm>
          <a:off x="7489032" y="7369969"/>
          <a:ext cx="7393780" cy="464343"/>
        </a:xfrm>
        <a:prstGeom prst="roundRect">
          <a:avLst/>
        </a:prstGeom>
        <a:solidFill>
          <a:srgbClr val="22C55E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Relação</a:t>
          </a:r>
          <a:r>
            <a:rPr lang="pt-BR" sz="1600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de pacotes fechados (QTD) por periodo e tipo</a:t>
          </a:r>
          <a:endParaRPr lang="pt-BR" sz="16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6</xdr:row>
      <xdr:rowOff>83343</xdr:rowOff>
    </xdr:from>
    <xdr:to>
      <xdr:col>0</xdr:col>
      <xdr:colOff>1381125</xdr:colOff>
      <xdr:row>7</xdr:row>
      <xdr:rowOff>285750</xdr:rowOff>
    </xdr:to>
    <xdr:sp macro="" textlink="">
      <xdr:nvSpPr>
        <xdr:cNvPr id="12" name="CaixaDeTexto 11"/>
        <xdr:cNvSpPr txBox="1"/>
      </xdr:nvSpPr>
      <xdr:spPr>
        <a:xfrm>
          <a:off x="0" y="1202531"/>
          <a:ext cx="1381125" cy="32146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&gt;Olá Pedro</a:t>
          </a:r>
        </a:p>
      </xdr:txBody>
    </xdr:sp>
    <xdr:clientData/>
  </xdr:twoCellAnchor>
  <xdr:twoCellAnchor>
    <xdr:from>
      <xdr:col>0</xdr:col>
      <xdr:colOff>223838</xdr:colOff>
      <xdr:row>1</xdr:row>
      <xdr:rowOff>191296</xdr:rowOff>
    </xdr:from>
    <xdr:to>
      <xdr:col>0</xdr:col>
      <xdr:colOff>995363</xdr:colOff>
      <xdr:row>6</xdr:row>
      <xdr:rowOff>11907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223838" y="369890"/>
          <a:ext cx="771525" cy="76120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0</xdr:col>
      <xdr:colOff>35717</xdr:colOff>
      <xdr:row>9</xdr:row>
      <xdr:rowOff>101204</xdr:rowOff>
    </xdr:from>
    <xdr:to>
      <xdr:col>0</xdr:col>
      <xdr:colOff>1488280</xdr:colOff>
      <xdr:row>16</xdr:row>
      <xdr:rowOff>65484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5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17" y="1934767"/>
              <a:ext cx="1452563" cy="12144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teus Neto" refreshedDate="46043.071828587963" createdVersion="6" refreshedVersion="6" minRefreshableVersion="3" recordCount="295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3"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  <cacheField name="Meses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s v="João Silva"/>
    <x v="0"/>
    <x v="0"/>
    <s v="Yes"/>
    <n v="15"/>
    <x v="0"/>
    <s v="Yes"/>
    <n v="30"/>
    <s v="Yes"/>
    <n v="20"/>
    <n v="5"/>
    <x v="0"/>
  </r>
  <r>
    <n v="3232"/>
    <s v="Maria Oliveira"/>
    <x v="1"/>
    <x v="1"/>
    <s v="No"/>
    <n v="5"/>
    <x v="1"/>
    <s v="No"/>
    <s v="-"/>
    <s v="No"/>
    <n v="0"/>
    <n v="0"/>
    <x v="1"/>
  </r>
  <r>
    <n v="3233"/>
    <s v="Lucas Fernandes"/>
    <x v="2"/>
    <x v="2"/>
    <s v="Yes"/>
    <n v="10"/>
    <x v="2"/>
    <s v="No"/>
    <s v="-"/>
    <s v="Yes"/>
    <n v="20"/>
    <n v="10"/>
    <x v="2"/>
  </r>
  <r>
    <n v="3234"/>
    <s v="Ana Souza"/>
    <x v="0"/>
    <x v="3"/>
    <s v="No"/>
    <n v="15"/>
    <x v="0"/>
    <s v="Yes"/>
    <n v="30"/>
    <s v="Yes"/>
    <n v="20"/>
    <n v="3"/>
    <x v="3"/>
  </r>
  <r>
    <n v="3235"/>
    <s v="Pedro Gonçalves"/>
    <x v="1"/>
    <x v="4"/>
    <s v="Yes"/>
    <n v="5"/>
    <x v="0"/>
    <s v="No"/>
    <s v="-"/>
    <s v="No"/>
    <n v="0"/>
    <n v="1"/>
    <x v="4"/>
  </r>
  <r>
    <n v="3236"/>
    <s v="Felipe Costa"/>
    <x v="2"/>
    <x v="5"/>
    <s v="No"/>
    <n v="10"/>
    <x v="0"/>
    <s v="No"/>
    <s v="-"/>
    <s v="Yes"/>
    <n v="20"/>
    <n v="2"/>
    <x v="5"/>
  </r>
  <r>
    <n v="3237"/>
    <s v="Camila Ribeiro"/>
    <x v="0"/>
    <x v="6"/>
    <s v="Yes"/>
    <n v="15"/>
    <x v="2"/>
    <s v="Yes"/>
    <n v="30"/>
    <s v="Yes"/>
    <n v="20"/>
    <n v="10"/>
    <x v="6"/>
  </r>
  <r>
    <n v="3238"/>
    <s v="André Mendes"/>
    <x v="1"/>
    <x v="7"/>
    <s v="Yes"/>
    <n v="5"/>
    <x v="1"/>
    <s v="No"/>
    <s v="-"/>
    <s v="No"/>
    <n v="0"/>
    <n v="0"/>
    <x v="1"/>
  </r>
  <r>
    <n v="3239"/>
    <s v="Sofia Almeida"/>
    <x v="0"/>
    <x v="4"/>
    <s v="No"/>
    <n v="15"/>
    <x v="0"/>
    <s v="Yes"/>
    <n v="30"/>
    <s v="Yes"/>
    <n v="20"/>
    <n v="5"/>
    <x v="0"/>
  </r>
  <r>
    <n v="3240"/>
    <s v="Bruno Martins"/>
    <x v="2"/>
    <x v="8"/>
    <s v="Yes"/>
    <n v="10"/>
    <x v="2"/>
    <s v="No"/>
    <s v="-"/>
    <s v="Yes"/>
    <n v="20"/>
    <n v="15"/>
    <x v="7"/>
  </r>
  <r>
    <n v="3241"/>
    <s v="Rita Castro"/>
    <x v="1"/>
    <x v="9"/>
    <s v="No"/>
    <n v="5"/>
    <x v="0"/>
    <s v="No"/>
    <s v="-"/>
    <s v="No"/>
    <n v="0"/>
    <n v="1"/>
    <x v="4"/>
  </r>
  <r>
    <n v="3242"/>
    <s v="Marco Túlio"/>
    <x v="0"/>
    <x v="10"/>
    <s v="Yes"/>
    <n v="15"/>
    <x v="1"/>
    <s v="Yes"/>
    <n v="30"/>
    <s v="Yes"/>
    <n v="20"/>
    <n v="20"/>
    <x v="8"/>
  </r>
  <r>
    <n v="3243"/>
    <s v="Lívia Silveira"/>
    <x v="2"/>
    <x v="11"/>
    <s v="No"/>
    <n v="10"/>
    <x v="0"/>
    <s v="No"/>
    <s v="-"/>
    <s v="Yes"/>
    <n v="20"/>
    <n v="10"/>
    <x v="2"/>
  </r>
  <r>
    <n v="3244"/>
    <s v="Diogo Sousa"/>
    <x v="1"/>
    <x v="12"/>
    <s v="Yes"/>
    <n v="5"/>
    <x v="2"/>
    <s v="No"/>
    <s v="-"/>
    <s v="No"/>
    <n v="0"/>
    <n v="0"/>
    <x v="1"/>
  </r>
  <r>
    <n v="3245"/>
    <s v="Fernanda Lima"/>
    <x v="0"/>
    <x v="13"/>
    <s v="No"/>
    <n v="15"/>
    <x v="0"/>
    <s v="Yes"/>
    <n v="30"/>
    <s v="Yes"/>
    <n v="20"/>
    <n v="8"/>
    <x v="9"/>
  </r>
  <r>
    <n v="3246"/>
    <s v="Caio Pereira"/>
    <x v="2"/>
    <x v="14"/>
    <s v="Yes"/>
    <n v="10"/>
    <x v="1"/>
    <s v="No"/>
    <s v="-"/>
    <s v="Yes"/>
    <n v="20"/>
    <n v="12"/>
    <x v="10"/>
  </r>
  <r>
    <n v="3247"/>
    <s v="Beatriz Gomes"/>
    <x v="1"/>
    <x v="15"/>
    <s v="No"/>
    <n v="5"/>
    <x v="0"/>
    <s v="No"/>
    <s v="-"/>
    <s v="No"/>
    <n v="0"/>
    <n v="2"/>
    <x v="11"/>
  </r>
  <r>
    <n v="3248"/>
    <s v="Cesar Oliveira"/>
    <x v="0"/>
    <x v="16"/>
    <s v="Yes"/>
    <n v="15"/>
    <x v="2"/>
    <s v="Yes"/>
    <n v="30"/>
    <s v="Yes"/>
    <n v="20"/>
    <n v="7"/>
    <x v="12"/>
  </r>
  <r>
    <n v="3249"/>
    <s v="Débora Machado"/>
    <x v="2"/>
    <x v="17"/>
    <s v="No"/>
    <n v="10"/>
    <x v="0"/>
    <s v="No"/>
    <s v="-"/>
    <s v="Yes"/>
    <n v="20"/>
    <n v="5"/>
    <x v="13"/>
  </r>
  <r>
    <n v="3250"/>
    <s v="Eduardo Vargas"/>
    <x v="1"/>
    <x v="18"/>
    <s v="Yes"/>
    <n v="5"/>
    <x v="1"/>
    <s v="No"/>
    <s v="-"/>
    <s v="No"/>
    <n v="0"/>
    <n v="0"/>
    <x v="1"/>
  </r>
  <r>
    <n v="3251"/>
    <s v="Gabriela Santos"/>
    <x v="0"/>
    <x v="19"/>
    <s v="No"/>
    <n v="15"/>
    <x v="0"/>
    <s v="Yes"/>
    <n v="30"/>
    <s v="Yes"/>
    <n v="20"/>
    <n v="3"/>
    <x v="3"/>
  </r>
  <r>
    <n v="3252"/>
    <s v="Henrique Dias"/>
    <x v="2"/>
    <x v="20"/>
    <s v="Yes"/>
    <n v="10"/>
    <x v="2"/>
    <s v="No"/>
    <s v="-"/>
    <s v="Yes"/>
    <n v="20"/>
    <n v="15"/>
    <x v="7"/>
  </r>
  <r>
    <n v="3253"/>
    <s v="Isabela Moreira"/>
    <x v="1"/>
    <x v="21"/>
    <s v="No"/>
    <n v="5"/>
    <x v="0"/>
    <s v="No"/>
    <s v="-"/>
    <s v="No"/>
    <n v="0"/>
    <n v="1"/>
    <x v="4"/>
  </r>
  <r>
    <n v="3254"/>
    <s v="Joaquim Barbosa"/>
    <x v="0"/>
    <x v="22"/>
    <s v="Yes"/>
    <n v="15"/>
    <x v="1"/>
    <s v="Yes"/>
    <n v="30"/>
    <s v="Yes"/>
    <n v="20"/>
    <n v="20"/>
    <x v="8"/>
  </r>
  <r>
    <n v="3255"/>
    <s v="Lara Rocha"/>
    <x v="2"/>
    <x v="23"/>
    <s v="No"/>
    <n v="10"/>
    <x v="0"/>
    <s v="No"/>
    <s v="-"/>
    <s v="Yes"/>
    <n v="20"/>
    <n v="10"/>
    <x v="2"/>
  </r>
  <r>
    <n v="3256"/>
    <s v="Matheus Silva"/>
    <x v="1"/>
    <x v="24"/>
    <s v="Yes"/>
    <n v="5"/>
    <x v="2"/>
    <s v="No"/>
    <s v="-"/>
    <s v="No"/>
    <n v="0"/>
    <n v="0"/>
    <x v="1"/>
  </r>
  <r>
    <n v="3257"/>
    <s v="Nicole Costa"/>
    <x v="0"/>
    <x v="25"/>
    <s v="No"/>
    <n v="15"/>
    <x v="0"/>
    <s v="Yes"/>
    <n v="30"/>
    <s v="Yes"/>
    <n v="20"/>
    <n v="5"/>
    <x v="0"/>
  </r>
  <r>
    <n v="3258"/>
    <s v="Otávio Mendonça"/>
    <x v="2"/>
    <x v="26"/>
    <s v="Yes"/>
    <n v="10"/>
    <x v="1"/>
    <s v="No"/>
    <s v="-"/>
    <s v="Yes"/>
    <n v="20"/>
    <n v="15"/>
    <x v="7"/>
  </r>
  <r>
    <n v="3259"/>
    <s v="Paula Ferreira"/>
    <x v="1"/>
    <x v="27"/>
    <s v="No"/>
    <n v="5"/>
    <x v="0"/>
    <s v="No"/>
    <s v="-"/>
    <s v="No"/>
    <n v="0"/>
    <n v="1"/>
    <x v="4"/>
  </r>
  <r>
    <n v="3260"/>
    <s v="Raquel Alves"/>
    <x v="0"/>
    <x v="28"/>
    <s v="Yes"/>
    <n v="15"/>
    <x v="2"/>
    <s v="Yes"/>
    <n v="30"/>
    <s v="Yes"/>
    <n v="20"/>
    <n v="7"/>
    <x v="12"/>
  </r>
  <r>
    <n v="3261"/>
    <s v="Samuel Pires"/>
    <x v="2"/>
    <x v="29"/>
    <s v="No"/>
    <n v="10"/>
    <x v="0"/>
    <s v="No"/>
    <s v="-"/>
    <s v="Yes"/>
    <n v="20"/>
    <n v="10"/>
    <x v="2"/>
  </r>
  <r>
    <n v="3262"/>
    <s v="Tânia Barros"/>
    <x v="1"/>
    <x v="30"/>
    <s v="Yes"/>
    <n v="5"/>
    <x v="1"/>
    <s v="No"/>
    <s v="-"/>
    <s v="No"/>
    <n v="0"/>
    <n v="0"/>
    <x v="1"/>
  </r>
  <r>
    <n v="3263"/>
    <s v="Vinicius Lima"/>
    <x v="0"/>
    <x v="31"/>
    <s v="No"/>
    <n v="15"/>
    <x v="0"/>
    <s v="Yes"/>
    <n v="30"/>
    <s v="Yes"/>
    <n v="20"/>
    <n v="3"/>
    <x v="3"/>
  </r>
  <r>
    <n v="3264"/>
    <s v="Yasmin Teixeira"/>
    <x v="2"/>
    <x v="32"/>
    <s v="Yes"/>
    <n v="10"/>
    <x v="2"/>
    <s v="No"/>
    <s v="-"/>
    <s v="Yes"/>
    <n v="20"/>
    <n v="15"/>
    <x v="7"/>
  </r>
  <r>
    <n v="3265"/>
    <s v="Zé Carlos"/>
    <x v="1"/>
    <x v="33"/>
    <s v="No"/>
    <n v="5"/>
    <x v="0"/>
    <s v="No"/>
    <s v="-"/>
    <s v="No"/>
    <n v="0"/>
    <n v="1"/>
    <x v="4"/>
  </r>
  <r>
    <n v="3266"/>
    <s v="Amanda Nogueira"/>
    <x v="1"/>
    <x v="34"/>
    <s v="Yes"/>
    <n v="5"/>
    <x v="0"/>
    <s v="No"/>
    <s v="-"/>
    <s v="No"/>
    <n v="0"/>
    <n v="0"/>
    <x v="1"/>
  </r>
  <r>
    <n v="3267"/>
    <s v="Bruno Cavalheiro"/>
    <x v="0"/>
    <x v="35"/>
    <s v="No"/>
    <n v="15"/>
    <x v="2"/>
    <s v="Yes"/>
    <n v="30"/>
    <s v="Yes"/>
    <n v="20"/>
    <n v="7"/>
    <x v="12"/>
  </r>
  <r>
    <n v="3268"/>
    <s v="Carla Dias"/>
    <x v="2"/>
    <x v="36"/>
    <s v="Yes"/>
    <n v="10"/>
    <x v="1"/>
    <s v="No"/>
    <s v="-"/>
    <s v="Yes"/>
    <n v="20"/>
    <n v="10"/>
    <x v="2"/>
  </r>
  <r>
    <n v="3269"/>
    <s v="Diego Fontes"/>
    <x v="1"/>
    <x v="37"/>
    <s v="No"/>
    <n v="5"/>
    <x v="2"/>
    <s v="No"/>
    <s v="-"/>
    <s v="No"/>
    <n v="0"/>
    <n v="1"/>
    <x v="4"/>
  </r>
  <r>
    <n v="3270"/>
    <s v="Eunice Lima"/>
    <x v="0"/>
    <x v="38"/>
    <s v="Yes"/>
    <n v="15"/>
    <x v="0"/>
    <s v="Yes"/>
    <n v="30"/>
    <s v="Yes"/>
    <n v="20"/>
    <n v="15"/>
    <x v="14"/>
  </r>
  <r>
    <n v="3271"/>
    <s v="Fábio Martins"/>
    <x v="2"/>
    <x v="39"/>
    <s v="No"/>
    <n v="10"/>
    <x v="0"/>
    <s v="No"/>
    <s v="-"/>
    <s v="Yes"/>
    <n v="20"/>
    <n v="5"/>
    <x v="13"/>
  </r>
  <r>
    <n v="3272"/>
    <s v="Gisele Araújo"/>
    <x v="1"/>
    <x v="40"/>
    <s v="Yes"/>
    <n v="5"/>
    <x v="1"/>
    <s v="No"/>
    <s v="-"/>
    <s v="No"/>
    <n v="0"/>
    <n v="0"/>
    <x v="1"/>
  </r>
  <r>
    <n v="3273"/>
    <s v="Hélio Castro"/>
    <x v="0"/>
    <x v="41"/>
    <s v="No"/>
    <n v="15"/>
    <x v="2"/>
    <s v="Yes"/>
    <n v="30"/>
    <s v="Yes"/>
    <n v="20"/>
    <n v="20"/>
    <x v="8"/>
  </r>
  <r>
    <n v="3274"/>
    <s v="Ingrid Menezes"/>
    <x v="2"/>
    <x v="42"/>
    <s v="Yes"/>
    <n v="10"/>
    <x v="2"/>
    <s v="No"/>
    <s v="-"/>
    <s v="Yes"/>
    <n v="20"/>
    <n v="12"/>
    <x v="10"/>
  </r>
  <r>
    <n v="3275"/>
    <s v="Jorge Baptista"/>
    <x v="1"/>
    <x v="43"/>
    <s v="No"/>
    <n v="5"/>
    <x v="0"/>
    <s v="No"/>
    <s v="-"/>
    <s v="No"/>
    <n v="0"/>
    <n v="2"/>
    <x v="11"/>
  </r>
  <r>
    <n v="3276"/>
    <s v="Kléber Oliveira"/>
    <x v="0"/>
    <x v="44"/>
    <s v="Yes"/>
    <n v="15"/>
    <x v="1"/>
    <s v="Yes"/>
    <n v="30"/>
    <s v="Yes"/>
    <n v="20"/>
    <n v="5"/>
    <x v="0"/>
  </r>
  <r>
    <n v="3277"/>
    <s v="Luciana Freitas"/>
    <x v="2"/>
    <x v="45"/>
    <s v="No"/>
    <n v="10"/>
    <x v="0"/>
    <s v="No"/>
    <s v="-"/>
    <s v="Yes"/>
    <n v="20"/>
    <n v="10"/>
    <x v="2"/>
  </r>
  <r>
    <n v="3278"/>
    <s v="Márcia Eller"/>
    <x v="1"/>
    <x v="46"/>
    <s v="Yes"/>
    <n v="5"/>
    <x v="2"/>
    <s v="No"/>
    <s v="-"/>
    <s v="No"/>
    <n v="0"/>
    <n v="0"/>
    <x v="1"/>
  </r>
  <r>
    <n v="3279"/>
    <s v="Nilo Peçanha"/>
    <x v="0"/>
    <x v="47"/>
    <s v="No"/>
    <n v="15"/>
    <x v="0"/>
    <s v="Yes"/>
    <n v="30"/>
    <s v="Yes"/>
    <n v="20"/>
    <n v="3"/>
    <x v="3"/>
  </r>
  <r>
    <n v="3280"/>
    <s v="Oscar Neves"/>
    <x v="2"/>
    <x v="48"/>
    <s v="Yes"/>
    <n v="10"/>
    <x v="1"/>
    <s v="No"/>
    <s v="-"/>
    <s v="Yes"/>
    <n v="20"/>
    <n v="15"/>
    <x v="7"/>
  </r>
  <r>
    <n v="3281"/>
    <s v="Patrícia Soares"/>
    <x v="1"/>
    <x v="49"/>
    <s v="No"/>
    <n v="5"/>
    <x v="0"/>
    <s v="No"/>
    <s v="-"/>
    <s v="No"/>
    <n v="0"/>
    <n v="1"/>
    <x v="4"/>
  </r>
  <r>
    <n v="3282"/>
    <s v="Quirino Gonçalves"/>
    <x v="0"/>
    <x v="50"/>
    <s v="Yes"/>
    <n v="15"/>
    <x v="2"/>
    <s v="Yes"/>
    <n v="30"/>
    <s v="Yes"/>
    <n v="20"/>
    <n v="7"/>
    <x v="12"/>
  </r>
  <r>
    <n v="3283"/>
    <s v="Raul Machado"/>
    <x v="2"/>
    <x v="51"/>
    <s v="No"/>
    <n v="10"/>
    <x v="0"/>
    <s v="No"/>
    <s v="-"/>
    <s v="Yes"/>
    <n v="20"/>
    <n v="10"/>
    <x v="2"/>
  </r>
  <r>
    <n v="3284"/>
    <s v="Sônia Lobo"/>
    <x v="1"/>
    <x v="52"/>
    <s v="Yes"/>
    <n v="5"/>
    <x v="1"/>
    <s v="No"/>
    <s v="-"/>
    <s v="No"/>
    <n v="0"/>
    <n v="0"/>
    <x v="1"/>
  </r>
  <r>
    <n v="3285"/>
    <s v="Tiago Ramos"/>
    <x v="0"/>
    <x v="53"/>
    <s v="No"/>
    <n v="15"/>
    <x v="0"/>
    <s v="Yes"/>
    <n v="30"/>
    <s v="Yes"/>
    <n v="20"/>
    <n v="20"/>
    <x v="8"/>
  </r>
  <r>
    <n v="3286"/>
    <s v="Ugo Pires"/>
    <x v="2"/>
    <x v="54"/>
    <s v="Yes"/>
    <n v="10"/>
    <x v="2"/>
    <s v="No"/>
    <s v="-"/>
    <s v="Yes"/>
    <n v="20"/>
    <n v="15"/>
    <x v="7"/>
  </r>
  <r>
    <n v="3287"/>
    <s v="Valéria Nobre"/>
    <x v="1"/>
    <x v="55"/>
    <s v="No"/>
    <n v="5"/>
    <x v="0"/>
    <s v="No"/>
    <s v="-"/>
    <s v="No"/>
    <n v="0"/>
    <n v="1"/>
    <x v="4"/>
  </r>
  <r>
    <n v="3288"/>
    <s v="William Siqueira"/>
    <x v="0"/>
    <x v="56"/>
    <s v="Yes"/>
    <n v="15"/>
    <x v="1"/>
    <s v="Yes"/>
    <n v="30"/>
    <s v="Yes"/>
    <n v="20"/>
    <n v="3"/>
    <x v="3"/>
  </r>
  <r>
    <n v="3289"/>
    <s v="Xuxa Meneghel"/>
    <x v="2"/>
    <x v="57"/>
    <s v="No"/>
    <n v="10"/>
    <x v="0"/>
    <s v="No"/>
    <s v="-"/>
    <s v="Yes"/>
    <n v="20"/>
    <n v="10"/>
    <x v="2"/>
  </r>
  <r>
    <n v="3290"/>
    <s v="Yara Figueiredo"/>
    <x v="1"/>
    <x v="58"/>
    <s v="Yes"/>
    <n v="5"/>
    <x v="2"/>
    <s v="No"/>
    <s v="-"/>
    <s v="No"/>
    <n v="0"/>
    <n v="0"/>
    <x v="1"/>
  </r>
  <r>
    <n v="3291"/>
    <s v="Zacarias Alves"/>
    <x v="0"/>
    <x v="59"/>
    <s v="No"/>
    <n v="15"/>
    <x v="0"/>
    <s v="Yes"/>
    <n v="30"/>
    <s v="Yes"/>
    <n v="20"/>
    <n v="5"/>
    <x v="0"/>
  </r>
  <r>
    <n v="3292"/>
    <s v="Amanda Bynes"/>
    <x v="2"/>
    <x v="60"/>
    <s v="Yes"/>
    <n v="10"/>
    <x v="1"/>
    <s v="No"/>
    <s v="-"/>
    <s v="Yes"/>
    <n v="20"/>
    <n v="15"/>
    <x v="7"/>
  </r>
  <r>
    <n v="3293"/>
    <s v="Bruno Mars"/>
    <x v="1"/>
    <x v="61"/>
    <s v="No"/>
    <n v="5"/>
    <x v="0"/>
    <s v="No"/>
    <s v="-"/>
    <s v="No"/>
    <n v="0"/>
    <n v="1"/>
    <x v="4"/>
  </r>
  <r>
    <n v="3294"/>
    <s v="Carla Bruni"/>
    <x v="0"/>
    <x v="62"/>
    <s v="Yes"/>
    <n v="15"/>
    <x v="2"/>
    <s v="Yes"/>
    <n v="30"/>
    <s v="Yes"/>
    <n v="20"/>
    <n v="20"/>
    <x v="8"/>
  </r>
  <r>
    <n v="3295"/>
    <s v="Diego Maradona"/>
    <x v="2"/>
    <x v="63"/>
    <s v="No"/>
    <n v="10"/>
    <x v="0"/>
    <s v="No"/>
    <s v="-"/>
    <s v="Yes"/>
    <n v="20"/>
    <n v="5"/>
    <x v="13"/>
  </r>
  <r>
    <n v="3296"/>
    <s v="Estela Marques"/>
    <x v="1"/>
    <x v="64"/>
    <s v="No"/>
    <n v="5"/>
    <x v="0"/>
    <s v="No"/>
    <s v="-"/>
    <s v="No"/>
    <n v="0"/>
    <n v="0"/>
    <x v="1"/>
  </r>
  <r>
    <n v="3297"/>
    <s v="Fábio Nobre"/>
    <x v="0"/>
    <x v="65"/>
    <s v="Yes"/>
    <n v="15"/>
    <x v="2"/>
    <s v="Yes"/>
    <n v="30"/>
    <s v="Yes"/>
    <n v="20"/>
    <n v="7"/>
    <x v="12"/>
  </r>
  <r>
    <n v="3298"/>
    <s v="Gabriel Oliveira"/>
    <x v="2"/>
    <x v="66"/>
    <s v="No"/>
    <n v="10"/>
    <x v="1"/>
    <s v="No"/>
    <s v="-"/>
    <s v="Yes"/>
    <n v="20"/>
    <n v="10"/>
    <x v="2"/>
  </r>
  <r>
    <n v="3299"/>
    <s v="Helena Santos"/>
    <x v="1"/>
    <x v="67"/>
    <s v="Yes"/>
    <n v="5"/>
    <x v="2"/>
    <s v="No"/>
    <s v="-"/>
    <s v="No"/>
    <n v="0"/>
    <n v="1"/>
    <x v="4"/>
  </r>
  <r>
    <n v="3300"/>
    <s v="Ivan Carvalho"/>
    <x v="0"/>
    <x v="68"/>
    <s v="No"/>
    <n v="15"/>
    <x v="0"/>
    <s v="Yes"/>
    <n v="30"/>
    <s v="Yes"/>
    <n v="20"/>
    <n v="15"/>
    <x v="14"/>
  </r>
  <r>
    <n v="3301"/>
    <s v="Júlia Ferreira"/>
    <x v="2"/>
    <x v="69"/>
    <s v="Yes"/>
    <n v="10"/>
    <x v="0"/>
    <s v="No"/>
    <s v="-"/>
    <s v="Yes"/>
    <n v="20"/>
    <n v="5"/>
    <x v="13"/>
  </r>
  <r>
    <n v="3302"/>
    <s v="Karla Alves"/>
    <x v="1"/>
    <x v="70"/>
    <s v="No"/>
    <n v="5"/>
    <x v="1"/>
    <s v="No"/>
    <s v="-"/>
    <s v="No"/>
    <n v="0"/>
    <n v="0"/>
    <x v="1"/>
  </r>
  <r>
    <n v="3303"/>
    <s v="Lucas Mendes"/>
    <x v="0"/>
    <x v="71"/>
    <s v="Yes"/>
    <n v="15"/>
    <x v="2"/>
    <s v="Yes"/>
    <n v="30"/>
    <s v="Yes"/>
    <n v="20"/>
    <n v="20"/>
    <x v="8"/>
  </r>
  <r>
    <n v="3304"/>
    <s v="Mônica Gomes"/>
    <x v="2"/>
    <x v="72"/>
    <s v="No"/>
    <n v="10"/>
    <x v="2"/>
    <s v="No"/>
    <s v="-"/>
    <s v="Yes"/>
    <n v="20"/>
    <n v="12"/>
    <x v="10"/>
  </r>
  <r>
    <n v="3305"/>
    <s v="Norberto Queiroz"/>
    <x v="1"/>
    <x v="73"/>
    <s v="Yes"/>
    <n v="5"/>
    <x v="0"/>
    <s v="No"/>
    <s v="-"/>
    <s v="No"/>
    <n v="0"/>
    <n v="2"/>
    <x v="11"/>
  </r>
  <r>
    <n v="3306"/>
    <s v="Otávio Barros"/>
    <x v="0"/>
    <x v="74"/>
    <s v="No"/>
    <n v="15"/>
    <x v="1"/>
    <s v="Yes"/>
    <n v="30"/>
    <s v="Yes"/>
    <n v="20"/>
    <n v="5"/>
    <x v="0"/>
  </r>
  <r>
    <n v="3307"/>
    <s v="Paula Vieira"/>
    <x v="2"/>
    <x v="75"/>
    <s v="Yes"/>
    <n v="10"/>
    <x v="0"/>
    <s v="No"/>
    <s v="-"/>
    <s v="Yes"/>
    <n v="20"/>
    <n v="10"/>
    <x v="2"/>
  </r>
  <r>
    <n v="3308"/>
    <s v="Quentin Ramos"/>
    <x v="1"/>
    <x v="76"/>
    <s v="No"/>
    <n v="5"/>
    <x v="2"/>
    <s v="No"/>
    <s v="-"/>
    <s v="No"/>
    <n v="0"/>
    <n v="0"/>
    <x v="1"/>
  </r>
  <r>
    <n v="3309"/>
    <s v="Raquel Novaes"/>
    <x v="0"/>
    <x v="77"/>
    <s v="Yes"/>
    <n v="15"/>
    <x v="0"/>
    <s v="Yes"/>
    <n v="30"/>
    <s v="Yes"/>
    <n v="20"/>
    <n v="3"/>
    <x v="3"/>
  </r>
  <r>
    <n v="3310"/>
    <s v="Samantha Lopes"/>
    <x v="2"/>
    <x v="78"/>
    <s v="No"/>
    <n v="10"/>
    <x v="1"/>
    <s v="No"/>
    <s v="-"/>
    <s v="Yes"/>
    <n v="20"/>
    <n v="15"/>
    <x v="7"/>
  </r>
  <r>
    <n v="3311"/>
    <s v="Tiago Martins"/>
    <x v="1"/>
    <x v="79"/>
    <s v="Yes"/>
    <n v="5"/>
    <x v="0"/>
    <s v="No"/>
    <s v="-"/>
    <s v="No"/>
    <n v="0"/>
    <n v="1"/>
    <x v="4"/>
  </r>
  <r>
    <n v="3312"/>
    <s v="Ulysses Guimarães"/>
    <x v="0"/>
    <x v="80"/>
    <s v="No"/>
    <n v="15"/>
    <x v="2"/>
    <s v="Yes"/>
    <n v="30"/>
    <s v="Yes"/>
    <n v="20"/>
    <n v="7"/>
    <x v="12"/>
  </r>
  <r>
    <n v="3313"/>
    <s v="Vanessa Silva"/>
    <x v="2"/>
    <x v="81"/>
    <s v="Yes"/>
    <n v="10"/>
    <x v="0"/>
    <s v="No"/>
    <s v="-"/>
    <s v="Yes"/>
    <n v="20"/>
    <n v="10"/>
    <x v="2"/>
  </r>
  <r>
    <n v="3314"/>
    <s v="William Carneiro"/>
    <x v="1"/>
    <x v="82"/>
    <s v="No"/>
    <n v="5"/>
    <x v="1"/>
    <s v="No"/>
    <s v="-"/>
    <s v="No"/>
    <n v="0"/>
    <n v="0"/>
    <x v="1"/>
  </r>
  <r>
    <n v="3315"/>
    <s v="Ximena Rocha"/>
    <x v="0"/>
    <x v="83"/>
    <s v="Yes"/>
    <n v="15"/>
    <x v="0"/>
    <s v="Yes"/>
    <n v="30"/>
    <s v="Yes"/>
    <n v="20"/>
    <n v="20"/>
    <x v="8"/>
  </r>
  <r>
    <n v="3316"/>
    <s v="Yasmin Figueiredo"/>
    <x v="2"/>
    <x v="84"/>
    <s v="No"/>
    <n v="10"/>
    <x v="2"/>
    <s v="No"/>
    <s v="-"/>
    <s v="Yes"/>
    <n v="20"/>
    <n v="15"/>
    <x v="7"/>
  </r>
  <r>
    <n v="3317"/>
    <s v="Zara Cunha"/>
    <x v="1"/>
    <x v="85"/>
    <s v="Yes"/>
    <n v="5"/>
    <x v="0"/>
    <s v="No"/>
    <s v="-"/>
    <s v="No"/>
    <n v="0"/>
    <n v="1"/>
    <x v="4"/>
  </r>
  <r>
    <n v="3318"/>
    <s v="Alan Teixeira"/>
    <x v="0"/>
    <x v="86"/>
    <s v="No"/>
    <n v="15"/>
    <x v="1"/>
    <s v="Yes"/>
    <n v="30"/>
    <s v="Yes"/>
    <n v="20"/>
    <n v="3"/>
    <x v="3"/>
  </r>
  <r>
    <n v="3319"/>
    <s v="Bárbara Oliveira"/>
    <x v="2"/>
    <x v="87"/>
    <s v="Yes"/>
    <n v="10"/>
    <x v="0"/>
    <s v="No"/>
    <s v="-"/>
    <s v="Yes"/>
    <n v="20"/>
    <n v="10"/>
    <x v="2"/>
  </r>
  <r>
    <n v="3320"/>
    <s v="Carlos Junqueira"/>
    <x v="1"/>
    <x v="88"/>
    <s v="No"/>
    <n v="5"/>
    <x v="2"/>
    <s v="No"/>
    <s v="-"/>
    <s v="No"/>
    <n v="0"/>
    <n v="0"/>
    <x v="1"/>
  </r>
  <r>
    <n v="3321"/>
    <s v="Daniela Moura"/>
    <x v="0"/>
    <x v="89"/>
    <s v="Yes"/>
    <n v="15"/>
    <x v="0"/>
    <s v="Yes"/>
    <n v="30"/>
    <s v="Yes"/>
    <n v="20"/>
    <n v="5"/>
    <x v="0"/>
  </r>
  <r>
    <n v="3322"/>
    <s v="Eduardo Lima"/>
    <x v="2"/>
    <x v="90"/>
    <s v="No"/>
    <n v="10"/>
    <x v="1"/>
    <s v="No"/>
    <s v="-"/>
    <s v="Yes"/>
    <n v="20"/>
    <n v="15"/>
    <x v="7"/>
  </r>
  <r>
    <n v="3323"/>
    <s v="Fabiana Araújo"/>
    <x v="1"/>
    <x v="91"/>
    <s v="Yes"/>
    <n v="5"/>
    <x v="0"/>
    <s v="No"/>
    <s v="-"/>
    <s v="No"/>
    <n v="0"/>
    <n v="1"/>
    <x v="4"/>
  </r>
  <r>
    <n v="3324"/>
    <s v="Geraldo Ribeiro"/>
    <x v="0"/>
    <x v="92"/>
    <s v="No"/>
    <n v="15"/>
    <x v="2"/>
    <s v="Yes"/>
    <n v="30"/>
    <s v="Yes"/>
    <n v="20"/>
    <n v="20"/>
    <x v="8"/>
  </r>
  <r>
    <n v="3325"/>
    <s v="Héctor Vargas"/>
    <x v="2"/>
    <x v="93"/>
    <s v="Yes"/>
    <n v="10"/>
    <x v="2"/>
    <s v="No"/>
    <s v="-"/>
    <s v="Yes"/>
    <n v="20"/>
    <n v="15"/>
    <x v="7"/>
  </r>
  <r>
    <n v="3326"/>
    <s v="Isabela Fonseca"/>
    <x v="1"/>
    <x v="94"/>
    <s v="No"/>
    <n v="5"/>
    <x v="1"/>
    <s v="No"/>
    <s v="-"/>
    <s v="No"/>
    <n v="0"/>
    <n v="0"/>
    <x v="1"/>
  </r>
  <r>
    <n v="3327"/>
    <s v="João Pedro Almeida"/>
    <x v="0"/>
    <x v="95"/>
    <s v="Yes"/>
    <n v="15"/>
    <x v="0"/>
    <s v="Yes"/>
    <n v="30"/>
    <s v="Yes"/>
    <n v="20"/>
    <n v="7"/>
    <x v="12"/>
  </r>
  <r>
    <n v="3328"/>
    <s v="Klara Costa"/>
    <x v="2"/>
    <x v="96"/>
    <s v="No"/>
    <n v="10"/>
    <x v="1"/>
    <s v="No"/>
    <s v="-"/>
    <s v="Yes"/>
    <n v="20"/>
    <n v="10"/>
    <x v="2"/>
  </r>
  <r>
    <n v="3329"/>
    <s v="Luciana Mendes"/>
    <x v="1"/>
    <x v="97"/>
    <s v="Yes"/>
    <n v="5"/>
    <x v="2"/>
    <s v="No"/>
    <s v="-"/>
    <s v="No"/>
    <n v="0"/>
    <n v="1"/>
    <x v="4"/>
  </r>
  <r>
    <n v="3330"/>
    <s v="Marcelo Gouveia"/>
    <x v="0"/>
    <x v="98"/>
    <s v="No"/>
    <n v="15"/>
    <x v="0"/>
    <s v="Yes"/>
    <n v="30"/>
    <s v="Yes"/>
    <n v="20"/>
    <n v="15"/>
    <x v="14"/>
  </r>
  <r>
    <n v="3331"/>
    <s v="Nívea Borges"/>
    <x v="2"/>
    <x v="99"/>
    <s v="Yes"/>
    <n v="10"/>
    <x v="0"/>
    <s v="No"/>
    <s v="-"/>
    <s v="Yes"/>
    <n v="20"/>
    <n v="5"/>
    <x v="13"/>
  </r>
  <r>
    <n v="3332"/>
    <s v="Oscar Nogueira"/>
    <x v="1"/>
    <x v="100"/>
    <s v="No"/>
    <n v="5"/>
    <x v="1"/>
    <s v="No"/>
    <s v="-"/>
    <s v="No"/>
    <n v="0"/>
    <n v="0"/>
    <x v="1"/>
  </r>
  <r>
    <n v="3333"/>
    <s v="Patrícia Alves"/>
    <x v="0"/>
    <x v="101"/>
    <s v="Yes"/>
    <n v="15"/>
    <x v="2"/>
    <s v="Yes"/>
    <n v="30"/>
    <s v="Yes"/>
    <n v="20"/>
    <n v="20"/>
    <x v="8"/>
  </r>
  <r>
    <n v="3334"/>
    <s v="Rafaela Silva"/>
    <x v="2"/>
    <x v="102"/>
    <s v="No"/>
    <n v="10"/>
    <x v="2"/>
    <s v="No"/>
    <s v="-"/>
    <s v="Yes"/>
    <n v="20"/>
    <n v="12"/>
    <x v="10"/>
  </r>
  <r>
    <n v="3335"/>
    <s v="Samantha Moraes"/>
    <x v="1"/>
    <x v="103"/>
    <s v="Yes"/>
    <n v="5"/>
    <x v="0"/>
    <s v="No"/>
    <s v="-"/>
    <s v="No"/>
    <n v="0"/>
    <n v="2"/>
    <x v="11"/>
  </r>
  <r>
    <n v="3336"/>
    <s v="Tatiana Rocha"/>
    <x v="1"/>
    <x v="104"/>
    <s v="Yes"/>
    <n v="5"/>
    <x v="0"/>
    <s v="No"/>
    <s v="-"/>
    <s v="No"/>
    <n v="0"/>
    <n v="0"/>
    <x v="1"/>
  </r>
  <r>
    <n v="3337"/>
    <s v="Ulisses Tavares"/>
    <x v="0"/>
    <x v="105"/>
    <s v="No"/>
    <n v="15"/>
    <x v="2"/>
    <s v="Yes"/>
    <n v="30"/>
    <s v="Yes"/>
    <n v="20"/>
    <n v="7"/>
    <x v="12"/>
  </r>
  <r>
    <n v="3338"/>
    <s v="Víctor Lemos"/>
    <x v="2"/>
    <x v="106"/>
    <s v="Yes"/>
    <n v="10"/>
    <x v="1"/>
    <s v="No"/>
    <s v="-"/>
    <s v="Yes"/>
    <n v="20"/>
    <n v="10"/>
    <x v="2"/>
  </r>
  <r>
    <n v="3339"/>
    <s v="Wilma Barros"/>
    <x v="1"/>
    <x v="107"/>
    <s v="No"/>
    <n v="5"/>
    <x v="2"/>
    <s v="No"/>
    <s v="-"/>
    <s v="No"/>
    <n v="0"/>
    <n v="1"/>
    <x v="4"/>
  </r>
  <r>
    <n v="3340"/>
    <s v="Xavier Nascimento"/>
    <x v="0"/>
    <x v="108"/>
    <s v="Yes"/>
    <n v="15"/>
    <x v="0"/>
    <s v="Yes"/>
    <n v="30"/>
    <s v="Yes"/>
    <n v="20"/>
    <n v="15"/>
    <x v="14"/>
  </r>
  <r>
    <n v="3341"/>
    <s v="Yago Pereira"/>
    <x v="2"/>
    <x v="109"/>
    <s v="No"/>
    <n v="10"/>
    <x v="0"/>
    <s v="No"/>
    <s v="-"/>
    <s v="Yes"/>
    <n v="20"/>
    <n v="5"/>
    <x v="13"/>
  </r>
  <r>
    <n v="3342"/>
    <s v="Zilda Ferreira"/>
    <x v="1"/>
    <x v="110"/>
    <s v="Yes"/>
    <n v="5"/>
    <x v="1"/>
    <s v="No"/>
    <s v="-"/>
    <s v="No"/>
    <n v="0"/>
    <n v="0"/>
    <x v="1"/>
  </r>
  <r>
    <n v="3343"/>
    <s v="Amanda Lopes"/>
    <x v="0"/>
    <x v="111"/>
    <s v="No"/>
    <n v="15"/>
    <x v="2"/>
    <s v="Yes"/>
    <n v="30"/>
    <s v="Yes"/>
    <n v="20"/>
    <n v="20"/>
    <x v="8"/>
  </r>
  <r>
    <n v="3344"/>
    <s v="Bruno Miranda"/>
    <x v="2"/>
    <x v="112"/>
    <s v="Yes"/>
    <n v="10"/>
    <x v="2"/>
    <s v="No"/>
    <s v="-"/>
    <s v="Yes"/>
    <n v="20"/>
    <n v="12"/>
    <x v="10"/>
  </r>
  <r>
    <n v="3345"/>
    <s v="Célia Torres"/>
    <x v="1"/>
    <x v="113"/>
    <s v="No"/>
    <n v="5"/>
    <x v="0"/>
    <s v="No"/>
    <s v="-"/>
    <s v="No"/>
    <n v="0"/>
    <n v="2"/>
    <x v="11"/>
  </r>
  <r>
    <n v="3346"/>
    <s v="Diogo Souza"/>
    <x v="0"/>
    <x v="114"/>
    <s v="Yes"/>
    <n v="15"/>
    <x v="1"/>
    <s v="Yes"/>
    <n v="30"/>
    <s v="Yes"/>
    <n v="20"/>
    <n v="5"/>
    <x v="0"/>
  </r>
  <r>
    <n v="3347"/>
    <s v="Elisa Castro"/>
    <x v="2"/>
    <x v="115"/>
    <s v="No"/>
    <n v="10"/>
    <x v="0"/>
    <s v="No"/>
    <s v="-"/>
    <s v="Yes"/>
    <n v="20"/>
    <n v="10"/>
    <x v="2"/>
  </r>
  <r>
    <n v="3348"/>
    <s v="Fátima Lima"/>
    <x v="1"/>
    <x v="116"/>
    <s v="Yes"/>
    <n v="5"/>
    <x v="2"/>
    <s v="No"/>
    <s v="-"/>
    <s v="No"/>
    <n v="0"/>
    <n v="0"/>
    <x v="1"/>
  </r>
  <r>
    <n v="3349"/>
    <s v="Geraldo Ribeiro"/>
    <x v="0"/>
    <x v="117"/>
    <s v="No"/>
    <n v="15"/>
    <x v="0"/>
    <s v="Yes"/>
    <n v="30"/>
    <s v="Yes"/>
    <n v="20"/>
    <n v="3"/>
    <x v="3"/>
  </r>
  <r>
    <n v="3350"/>
    <s v="Hélio Martins"/>
    <x v="2"/>
    <x v="118"/>
    <s v="Yes"/>
    <n v="10"/>
    <x v="1"/>
    <s v="No"/>
    <s v="-"/>
    <s v="Yes"/>
    <n v="20"/>
    <n v="15"/>
    <x v="7"/>
  </r>
  <r>
    <n v="3351"/>
    <s v="Íris Santos"/>
    <x v="1"/>
    <x v="119"/>
    <s v="No"/>
    <n v="5"/>
    <x v="0"/>
    <s v="No"/>
    <s v="-"/>
    <s v="No"/>
    <n v="0"/>
    <n v="1"/>
    <x v="4"/>
  </r>
  <r>
    <n v="3352"/>
    <s v="João Marcelo"/>
    <x v="0"/>
    <x v="120"/>
    <s v="Yes"/>
    <n v="15"/>
    <x v="2"/>
    <s v="Yes"/>
    <n v="30"/>
    <s v="Yes"/>
    <n v="20"/>
    <n v="7"/>
    <x v="12"/>
  </r>
  <r>
    <n v="3353"/>
    <s v="Larissa Gomes"/>
    <x v="2"/>
    <x v="121"/>
    <s v="No"/>
    <n v="10"/>
    <x v="0"/>
    <s v="No"/>
    <s v="-"/>
    <s v="Yes"/>
    <n v="20"/>
    <n v="10"/>
    <x v="2"/>
  </r>
  <r>
    <n v="3354"/>
    <s v="Márcio Silva"/>
    <x v="1"/>
    <x v="122"/>
    <s v="Yes"/>
    <n v="5"/>
    <x v="1"/>
    <s v="No"/>
    <s v="-"/>
    <s v="No"/>
    <n v="0"/>
    <n v="0"/>
    <x v="1"/>
  </r>
  <r>
    <n v="3355"/>
    <s v="Nadia Costa"/>
    <x v="0"/>
    <x v="123"/>
    <s v="No"/>
    <n v="15"/>
    <x v="0"/>
    <s v="Yes"/>
    <n v="30"/>
    <s v="Yes"/>
    <n v="20"/>
    <n v="20"/>
    <x v="8"/>
  </r>
  <r>
    <n v="3356"/>
    <s v="Oscar Almeida"/>
    <x v="2"/>
    <x v="124"/>
    <s v="Yes"/>
    <n v="10"/>
    <x v="2"/>
    <s v="No"/>
    <s v="-"/>
    <s v="Yes"/>
    <n v="20"/>
    <n v="15"/>
    <x v="7"/>
  </r>
  <r>
    <n v="3357"/>
    <s v="Patricia Soares"/>
    <x v="1"/>
    <x v="125"/>
    <s v="No"/>
    <n v="5"/>
    <x v="0"/>
    <s v="No"/>
    <s v="-"/>
    <s v="No"/>
    <n v="0"/>
    <n v="1"/>
    <x v="4"/>
  </r>
  <r>
    <n v="3358"/>
    <s v="Quênia Barros"/>
    <x v="0"/>
    <x v="126"/>
    <s v="Yes"/>
    <n v="15"/>
    <x v="1"/>
    <s v="Yes"/>
    <n v="30"/>
    <s v="Yes"/>
    <n v="20"/>
    <n v="3"/>
    <x v="3"/>
  </r>
  <r>
    <n v="3359"/>
    <s v="Rafael Torres"/>
    <x v="2"/>
    <x v="127"/>
    <s v="No"/>
    <n v="10"/>
    <x v="0"/>
    <s v="No"/>
    <s v="-"/>
    <s v="Yes"/>
    <n v="20"/>
    <n v="10"/>
    <x v="2"/>
  </r>
  <r>
    <n v="3360"/>
    <s v="Silvia Nascimento"/>
    <x v="1"/>
    <x v="128"/>
    <s v="Yes"/>
    <n v="5"/>
    <x v="2"/>
    <s v="No"/>
    <s v="-"/>
    <s v="No"/>
    <n v="0"/>
    <n v="0"/>
    <x v="1"/>
  </r>
  <r>
    <n v="3361"/>
    <s v="Tiago Mendes"/>
    <x v="0"/>
    <x v="129"/>
    <s v="No"/>
    <n v="15"/>
    <x v="0"/>
    <s v="Yes"/>
    <n v="30"/>
    <s v="Yes"/>
    <n v="20"/>
    <n v="15"/>
    <x v="14"/>
  </r>
  <r>
    <n v="3362"/>
    <s v="Ursula Silva"/>
    <x v="2"/>
    <x v="130"/>
    <s v="Yes"/>
    <n v="10"/>
    <x v="1"/>
    <s v="No"/>
    <s v="-"/>
    <s v="Yes"/>
    <n v="20"/>
    <n v="15"/>
    <x v="7"/>
  </r>
  <r>
    <n v="3363"/>
    <s v="Vanessa Moraes"/>
    <x v="1"/>
    <x v="131"/>
    <s v="No"/>
    <n v="5"/>
    <x v="0"/>
    <s v="No"/>
    <s v="-"/>
    <s v="No"/>
    <n v="0"/>
    <n v="1"/>
    <x v="4"/>
  </r>
  <r>
    <n v="3364"/>
    <s v="Waldir Junior"/>
    <x v="0"/>
    <x v="132"/>
    <s v="Yes"/>
    <n v="15"/>
    <x v="2"/>
    <s v="Yes"/>
    <n v="30"/>
    <s v="Yes"/>
    <n v="20"/>
    <n v="7"/>
    <x v="12"/>
  </r>
  <r>
    <n v="3365"/>
    <s v="Xavier Lopes"/>
    <x v="2"/>
    <x v="133"/>
    <s v="No"/>
    <n v="10"/>
    <x v="0"/>
    <s v="No"/>
    <s v="-"/>
    <s v="Yes"/>
    <n v="20"/>
    <n v="10"/>
    <x v="2"/>
  </r>
  <r>
    <n v="3366"/>
    <s v="Yolanda Freitas"/>
    <x v="1"/>
    <x v="134"/>
    <s v="Yes"/>
    <n v="5"/>
    <x v="0"/>
    <s v="No"/>
    <s v="-"/>
    <s v="No"/>
    <n v="0"/>
    <n v="0"/>
    <x v="1"/>
  </r>
  <r>
    <n v="3367"/>
    <s v="Zacarias Nunes"/>
    <x v="0"/>
    <x v="135"/>
    <s v="No"/>
    <n v="15"/>
    <x v="2"/>
    <s v="Yes"/>
    <n v="30"/>
    <s v="Yes"/>
    <n v="20"/>
    <n v="7"/>
    <x v="12"/>
  </r>
  <r>
    <n v="3368"/>
    <s v="Ana Clara Barreto"/>
    <x v="2"/>
    <x v="136"/>
    <s v="Yes"/>
    <n v="10"/>
    <x v="1"/>
    <s v="No"/>
    <s v="-"/>
    <s v="Yes"/>
    <n v="20"/>
    <n v="10"/>
    <x v="2"/>
  </r>
  <r>
    <n v="3369"/>
    <s v="Bruno Henrique"/>
    <x v="1"/>
    <x v="137"/>
    <s v="No"/>
    <n v="5"/>
    <x v="2"/>
    <s v="No"/>
    <s v="-"/>
    <s v="No"/>
    <n v="0"/>
    <n v="1"/>
    <x v="4"/>
  </r>
  <r>
    <n v="3370"/>
    <s v="Carlos Eduardo"/>
    <x v="0"/>
    <x v="138"/>
    <s v="Yes"/>
    <n v="15"/>
    <x v="0"/>
    <s v="Yes"/>
    <n v="30"/>
    <s v="Yes"/>
    <n v="20"/>
    <n v="15"/>
    <x v="14"/>
  </r>
  <r>
    <n v="3371"/>
    <s v="Débora Lima"/>
    <x v="2"/>
    <x v="139"/>
    <s v="No"/>
    <n v="10"/>
    <x v="0"/>
    <s v="No"/>
    <s v="-"/>
    <s v="Yes"/>
    <n v="20"/>
    <n v="5"/>
    <x v="13"/>
  </r>
  <r>
    <n v="3372"/>
    <s v="Elisa Neves"/>
    <x v="1"/>
    <x v="140"/>
    <s v="Yes"/>
    <n v="5"/>
    <x v="1"/>
    <s v="No"/>
    <s v="-"/>
    <s v="No"/>
    <n v="0"/>
    <n v="0"/>
    <x v="1"/>
  </r>
  <r>
    <n v="3373"/>
    <s v="Fabiano Gomes"/>
    <x v="0"/>
    <x v="141"/>
    <s v="No"/>
    <n v="15"/>
    <x v="2"/>
    <s v="Yes"/>
    <n v="30"/>
    <s v="Yes"/>
    <n v="20"/>
    <n v="20"/>
    <x v="8"/>
  </r>
  <r>
    <n v="3374"/>
    <s v="Gisele Oliveira"/>
    <x v="2"/>
    <x v="142"/>
    <s v="Yes"/>
    <n v="10"/>
    <x v="2"/>
    <s v="No"/>
    <s v="-"/>
    <s v="Yes"/>
    <n v="20"/>
    <n v="12"/>
    <x v="10"/>
  </r>
  <r>
    <n v="3375"/>
    <s v="Héctor Silva"/>
    <x v="1"/>
    <x v="143"/>
    <s v="No"/>
    <n v="5"/>
    <x v="0"/>
    <s v="No"/>
    <s v="-"/>
    <s v="No"/>
    <n v="0"/>
    <n v="2"/>
    <x v="11"/>
  </r>
  <r>
    <n v="3376"/>
    <s v="Igor Martins"/>
    <x v="0"/>
    <x v="144"/>
    <s v="Yes"/>
    <n v="15"/>
    <x v="1"/>
    <s v="Yes"/>
    <n v="30"/>
    <s v="Yes"/>
    <n v="20"/>
    <n v="5"/>
    <x v="0"/>
  </r>
  <r>
    <n v="3377"/>
    <s v="Joana Figueiredo"/>
    <x v="2"/>
    <x v="145"/>
    <s v="No"/>
    <n v="10"/>
    <x v="0"/>
    <s v="No"/>
    <s v="-"/>
    <s v="Yes"/>
    <n v="20"/>
    <n v="10"/>
    <x v="2"/>
  </r>
  <r>
    <n v="3378"/>
    <s v="Kleber Machado"/>
    <x v="1"/>
    <x v="146"/>
    <s v="Yes"/>
    <n v="5"/>
    <x v="2"/>
    <s v="No"/>
    <s v="-"/>
    <s v="No"/>
    <n v="0"/>
    <n v="0"/>
    <x v="1"/>
  </r>
  <r>
    <n v="3379"/>
    <s v="Luciana Santos"/>
    <x v="0"/>
    <x v="147"/>
    <s v="No"/>
    <n v="15"/>
    <x v="0"/>
    <s v="Yes"/>
    <n v="30"/>
    <s v="Yes"/>
    <n v="20"/>
    <n v="3"/>
    <x v="3"/>
  </r>
  <r>
    <n v="3380"/>
    <s v="Marcos Teixeira"/>
    <x v="2"/>
    <x v="148"/>
    <s v="Yes"/>
    <n v="10"/>
    <x v="1"/>
    <s v="No"/>
    <s v="-"/>
    <s v="Yes"/>
    <n v="20"/>
    <n v="15"/>
    <x v="7"/>
  </r>
  <r>
    <n v="3381"/>
    <s v="Natalia Costa"/>
    <x v="1"/>
    <x v="149"/>
    <s v="No"/>
    <n v="5"/>
    <x v="0"/>
    <s v="No"/>
    <s v="-"/>
    <s v="No"/>
    <n v="0"/>
    <n v="1"/>
    <x v="4"/>
  </r>
  <r>
    <n v="3382"/>
    <s v="Oscar Ribeiro"/>
    <x v="0"/>
    <x v="150"/>
    <s v="Yes"/>
    <n v="15"/>
    <x v="2"/>
    <s v="Yes"/>
    <n v="30"/>
    <s v="Yes"/>
    <n v="20"/>
    <n v="7"/>
    <x v="12"/>
  </r>
  <r>
    <n v="3383"/>
    <s v="Patricia Almeida"/>
    <x v="2"/>
    <x v="151"/>
    <s v="No"/>
    <n v="10"/>
    <x v="0"/>
    <s v="No"/>
    <s v="-"/>
    <s v="Yes"/>
    <n v="20"/>
    <n v="10"/>
    <x v="2"/>
  </r>
  <r>
    <n v="3384"/>
    <s v="Quirino Junior"/>
    <x v="1"/>
    <x v="152"/>
    <s v="Yes"/>
    <n v="5"/>
    <x v="1"/>
    <s v="No"/>
    <s v="-"/>
    <s v="No"/>
    <n v="0"/>
    <n v="0"/>
    <x v="1"/>
  </r>
  <r>
    <n v="3385"/>
    <s v="Renata Machado"/>
    <x v="0"/>
    <x v="153"/>
    <s v="No"/>
    <n v="15"/>
    <x v="0"/>
    <s v="Yes"/>
    <n v="30"/>
    <s v="Yes"/>
    <n v="20"/>
    <n v="20"/>
    <x v="8"/>
  </r>
  <r>
    <n v="3386"/>
    <s v="Sônia Alves"/>
    <x v="2"/>
    <x v="154"/>
    <s v="Yes"/>
    <n v="10"/>
    <x v="2"/>
    <s v="No"/>
    <s v="-"/>
    <s v="Yes"/>
    <n v="20"/>
    <n v="15"/>
    <x v="7"/>
  </r>
  <r>
    <n v="3387"/>
    <s v="Tiago Nunes"/>
    <x v="1"/>
    <x v="155"/>
    <s v="No"/>
    <n v="5"/>
    <x v="0"/>
    <s v="No"/>
    <s v="-"/>
    <s v="No"/>
    <n v="0"/>
    <n v="1"/>
    <x v="4"/>
  </r>
  <r>
    <n v="3388"/>
    <s v="Ulysses Pereira"/>
    <x v="0"/>
    <x v="156"/>
    <s v="Yes"/>
    <n v="15"/>
    <x v="1"/>
    <s v="Yes"/>
    <n v="30"/>
    <s v="Yes"/>
    <n v="20"/>
    <n v="3"/>
    <x v="3"/>
  </r>
  <r>
    <n v="3389"/>
    <s v="Vanessa Lima"/>
    <x v="2"/>
    <x v="157"/>
    <s v="No"/>
    <n v="10"/>
    <x v="0"/>
    <s v="No"/>
    <s v="-"/>
    <s v="Yes"/>
    <n v="20"/>
    <n v="10"/>
    <x v="2"/>
  </r>
  <r>
    <n v="3390"/>
    <s v="Wagner Santos"/>
    <x v="1"/>
    <x v="158"/>
    <s v="Yes"/>
    <n v="5"/>
    <x v="2"/>
    <s v="No"/>
    <s v="-"/>
    <s v="No"/>
    <n v="0"/>
    <n v="0"/>
    <x v="1"/>
  </r>
  <r>
    <n v="3391"/>
    <s v="Xuxa Meneghel"/>
    <x v="0"/>
    <x v="159"/>
    <s v="No"/>
    <n v="15"/>
    <x v="0"/>
    <s v="Yes"/>
    <n v="30"/>
    <s v="Yes"/>
    <n v="20"/>
    <n v="15"/>
    <x v="14"/>
  </r>
  <r>
    <n v="3392"/>
    <s v="Yasmin Silva"/>
    <x v="2"/>
    <x v="160"/>
    <s v="Yes"/>
    <n v="10"/>
    <x v="1"/>
    <s v="No"/>
    <s v="-"/>
    <s v="Yes"/>
    <n v="20"/>
    <n v="15"/>
    <x v="7"/>
  </r>
  <r>
    <n v="3393"/>
    <s v="Zacarias de Souza"/>
    <x v="1"/>
    <x v="161"/>
    <s v="No"/>
    <n v="5"/>
    <x v="0"/>
    <s v="No"/>
    <s v="-"/>
    <s v="No"/>
    <n v="0"/>
    <n v="1"/>
    <x v="4"/>
  </r>
  <r>
    <n v="3394"/>
    <s v="André Lima"/>
    <x v="0"/>
    <x v="162"/>
    <s v="Yes"/>
    <n v="15"/>
    <x v="2"/>
    <s v="Yes"/>
    <n v="30"/>
    <s v="Yes"/>
    <n v="20"/>
    <n v="7"/>
    <x v="12"/>
  </r>
  <r>
    <n v="3395"/>
    <s v="Bianca Freitas"/>
    <x v="2"/>
    <x v="163"/>
    <s v="No"/>
    <n v="10"/>
    <x v="0"/>
    <s v="No"/>
    <s v="-"/>
    <s v="Yes"/>
    <n v="20"/>
    <n v="10"/>
    <x v="2"/>
  </r>
  <r>
    <n v="3396"/>
    <s v="Caio Mendes"/>
    <x v="1"/>
    <x v="164"/>
    <s v="Yes"/>
    <n v="5"/>
    <x v="1"/>
    <s v="No"/>
    <s v="-"/>
    <s v="No"/>
    <n v="0"/>
    <n v="0"/>
    <x v="1"/>
  </r>
  <r>
    <n v="3397"/>
    <s v="Daniela Moura"/>
    <x v="0"/>
    <x v="165"/>
    <s v="No"/>
    <n v="15"/>
    <x v="0"/>
    <s v="Yes"/>
    <n v="30"/>
    <s v="Yes"/>
    <n v="20"/>
    <n v="20"/>
    <x v="8"/>
  </r>
  <r>
    <n v="3398"/>
    <s v="Eduardo Costa"/>
    <x v="2"/>
    <x v="166"/>
    <s v="Yes"/>
    <n v="10"/>
    <x v="2"/>
    <s v="No"/>
    <s v="-"/>
    <s v="Yes"/>
    <n v="20"/>
    <n v="15"/>
    <x v="7"/>
  </r>
  <r>
    <n v="3399"/>
    <s v="Fernanda Gomes"/>
    <x v="1"/>
    <x v="167"/>
    <s v="No"/>
    <n v="5"/>
    <x v="0"/>
    <s v="No"/>
    <s v="-"/>
    <s v="No"/>
    <n v="0"/>
    <n v="1"/>
    <x v="4"/>
  </r>
  <r>
    <n v="3400"/>
    <s v="Guilherme Souza"/>
    <x v="0"/>
    <x v="168"/>
    <s v="Yes"/>
    <n v="15"/>
    <x v="1"/>
    <s v="Yes"/>
    <n v="30"/>
    <s v="Yes"/>
    <n v="20"/>
    <n v="5"/>
    <x v="0"/>
  </r>
  <r>
    <n v="3401"/>
    <s v="Helena Ribeiro"/>
    <x v="2"/>
    <x v="169"/>
    <s v="No"/>
    <n v="10"/>
    <x v="0"/>
    <s v="No"/>
    <s v="-"/>
    <s v="Yes"/>
    <n v="20"/>
    <n v="10"/>
    <x v="2"/>
  </r>
  <r>
    <n v="3402"/>
    <s v="Igor Santos"/>
    <x v="1"/>
    <x v="170"/>
    <s v="Yes"/>
    <n v="5"/>
    <x v="2"/>
    <s v="No"/>
    <s v="-"/>
    <s v="No"/>
    <n v="0"/>
    <n v="0"/>
    <x v="1"/>
  </r>
  <r>
    <n v="3403"/>
    <s v="João Carvalho"/>
    <x v="0"/>
    <x v="171"/>
    <s v="No"/>
    <n v="15"/>
    <x v="0"/>
    <s v="Yes"/>
    <n v="30"/>
    <s v="Yes"/>
    <n v="20"/>
    <n v="3"/>
    <x v="3"/>
  </r>
  <r>
    <n v="3404"/>
    <s v="Klara Fagundes"/>
    <x v="2"/>
    <x v="172"/>
    <s v="Yes"/>
    <n v="10"/>
    <x v="1"/>
    <s v="No"/>
    <s v="-"/>
    <s v="Yes"/>
    <n v="20"/>
    <n v="15"/>
    <x v="7"/>
  </r>
  <r>
    <n v="3405"/>
    <s v="Lúcia Mendonça"/>
    <x v="1"/>
    <x v="173"/>
    <s v="No"/>
    <n v="5"/>
    <x v="0"/>
    <s v="No"/>
    <s v="-"/>
    <s v="No"/>
    <n v="0"/>
    <n v="1"/>
    <x v="4"/>
  </r>
  <r>
    <n v="3406"/>
    <s v="Marcelo Novaes"/>
    <x v="1"/>
    <x v="174"/>
    <s v="Yes"/>
    <n v="5"/>
    <x v="0"/>
    <s v="No"/>
    <s v="-"/>
    <s v="No"/>
    <n v="0"/>
    <n v="0"/>
    <x v="1"/>
  </r>
  <r>
    <n v="3407"/>
    <s v="Nina Pacheco"/>
    <x v="0"/>
    <x v="175"/>
    <s v="No"/>
    <n v="15"/>
    <x v="2"/>
    <s v="Yes"/>
    <n v="30"/>
    <s v="Yes"/>
    <n v="20"/>
    <n v="7"/>
    <x v="12"/>
  </r>
  <r>
    <n v="3408"/>
    <s v="Olívia Rios"/>
    <x v="2"/>
    <x v="176"/>
    <s v="Yes"/>
    <n v="10"/>
    <x v="1"/>
    <s v="No"/>
    <s v="-"/>
    <s v="Yes"/>
    <n v="20"/>
    <n v="10"/>
    <x v="2"/>
  </r>
  <r>
    <n v="3409"/>
    <s v="Paulo Quintana"/>
    <x v="1"/>
    <x v="177"/>
    <s v="No"/>
    <n v="5"/>
    <x v="2"/>
    <s v="No"/>
    <s v="-"/>
    <s v="No"/>
    <n v="0"/>
    <n v="1"/>
    <x v="4"/>
  </r>
  <r>
    <n v="3410"/>
    <s v="Raquel Domingos"/>
    <x v="0"/>
    <x v="178"/>
    <s v="Yes"/>
    <n v="15"/>
    <x v="0"/>
    <s v="Yes"/>
    <n v="30"/>
    <s v="Yes"/>
    <n v="20"/>
    <n v="15"/>
    <x v="14"/>
  </r>
  <r>
    <n v="3411"/>
    <s v="Samuel Viana"/>
    <x v="2"/>
    <x v="179"/>
    <s v="No"/>
    <n v="10"/>
    <x v="0"/>
    <s v="No"/>
    <s v="-"/>
    <s v="Yes"/>
    <n v="20"/>
    <n v="5"/>
    <x v="13"/>
  </r>
  <r>
    <n v="3412"/>
    <s v="Tatiane Rocha"/>
    <x v="1"/>
    <x v="180"/>
    <s v="Yes"/>
    <n v="5"/>
    <x v="1"/>
    <s v="No"/>
    <s v="-"/>
    <s v="No"/>
    <n v="0"/>
    <n v="0"/>
    <x v="1"/>
  </r>
  <r>
    <n v="3413"/>
    <s v="Ulysses Farias"/>
    <x v="0"/>
    <x v="181"/>
    <s v="No"/>
    <n v="15"/>
    <x v="2"/>
    <s v="Yes"/>
    <n v="30"/>
    <s v="Yes"/>
    <n v="20"/>
    <n v="20"/>
    <x v="8"/>
  </r>
  <r>
    <n v="3414"/>
    <s v="Vanessa Moreira"/>
    <x v="2"/>
    <x v="182"/>
    <s v="Yes"/>
    <n v="10"/>
    <x v="2"/>
    <s v="No"/>
    <s v="-"/>
    <s v="Yes"/>
    <n v="20"/>
    <n v="12"/>
    <x v="10"/>
  </r>
  <r>
    <n v="3415"/>
    <s v="William Carvalho"/>
    <x v="1"/>
    <x v="183"/>
    <s v="No"/>
    <n v="5"/>
    <x v="0"/>
    <s v="No"/>
    <s v="-"/>
    <s v="No"/>
    <n v="0"/>
    <n v="2"/>
    <x v="11"/>
  </r>
  <r>
    <n v="3416"/>
    <s v="Ximena Barros"/>
    <x v="0"/>
    <x v="184"/>
    <s v="Yes"/>
    <n v="15"/>
    <x v="1"/>
    <s v="Yes"/>
    <n v="30"/>
    <s v="Yes"/>
    <n v="20"/>
    <n v="5"/>
    <x v="0"/>
  </r>
  <r>
    <n v="3417"/>
    <s v="Yara Machado"/>
    <x v="2"/>
    <x v="185"/>
    <s v="No"/>
    <n v="10"/>
    <x v="0"/>
    <s v="No"/>
    <s v="-"/>
    <s v="Yes"/>
    <n v="20"/>
    <n v="10"/>
    <x v="2"/>
  </r>
  <r>
    <n v="3418"/>
    <s v="Zacarias Costa"/>
    <x v="1"/>
    <x v="186"/>
    <s v="Yes"/>
    <n v="5"/>
    <x v="2"/>
    <s v="No"/>
    <s v="-"/>
    <s v="No"/>
    <n v="0"/>
    <n v="0"/>
    <x v="1"/>
  </r>
  <r>
    <n v="3419"/>
    <s v="André Lopes"/>
    <x v="0"/>
    <x v="187"/>
    <s v="No"/>
    <n v="15"/>
    <x v="0"/>
    <s v="Yes"/>
    <n v="30"/>
    <s v="Yes"/>
    <n v="20"/>
    <n v="3"/>
    <x v="3"/>
  </r>
  <r>
    <n v="3420"/>
    <s v="Beatriz Souza"/>
    <x v="2"/>
    <x v="188"/>
    <s v="Yes"/>
    <n v="10"/>
    <x v="1"/>
    <s v="No"/>
    <s v="-"/>
    <s v="Yes"/>
    <n v="20"/>
    <n v="15"/>
    <x v="7"/>
  </r>
  <r>
    <n v="3421"/>
    <s v="Caio Pereira"/>
    <x v="1"/>
    <x v="189"/>
    <s v="No"/>
    <n v="5"/>
    <x v="0"/>
    <s v="No"/>
    <s v="-"/>
    <s v="No"/>
    <n v="0"/>
    <n v="1"/>
    <x v="4"/>
  </r>
  <r>
    <n v="3422"/>
    <s v="Daniela Araújo"/>
    <x v="0"/>
    <x v="190"/>
    <s v="Yes"/>
    <n v="15"/>
    <x v="2"/>
    <s v="Yes"/>
    <n v="30"/>
    <s v="Yes"/>
    <n v="20"/>
    <n v="7"/>
    <x v="12"/>
  </r>
  <r>
    <n v="3423"/>
    <s v="Eduardo Santos"/>
    <x v="2"/>
    <x v="191"/>
    <s v="No"/>
    <n v="10"/>
    <x v="0"/>
    <s v="No"/>
    <s v="-"/>
    <s v="Yes"/>
    <n v="20"/>
    <n v="10"/>
    <x v="2"/>
  </r>
  <r>
    <n v="3424"/>
    <s v="Fernanda Lima"/>
    <x v="1"/>
    <x v="192"/>
    <s v="Yes"/>
    <n v="5"/>
    <x v="1"/>
    <s v="No"/>
    <s v="-"/>
    <s v="No"/>
    <n v="0"/>
    <n v="0"/>
    <x v="1"/>
  </r>
  <r>
    <n v="3425"/>
    <s v="Gabriel Teixeira"/>
    <x v="0"/>
    <x v="193"/>
    <s v="No"/>
    <n v="15"/>
    <x v="0"/>
    <s v="Yes"/>
    <n v="30"/>
    <s v="Yes"/>
    <n v="20"/>
    <n v="20"/>
    <x v="8"/>
  </r>
  <r>
    <n v="3426"/>
    <s v="Helena Ribeiro"/>
    <x v="2"/>
    <x v="194"/>
    <s v="Yes"/>
    <n v="10"/>
    <x v="2"/>
    <s v="No"/>
    <s v="-"/>
    <s v="Yes"/>
    <n v="20"/>
    <n v="15"/>
    <x v="7"/>
  </r>
  <r>
    <n v="3427"/>
    <s v="Igor Mendes"/>
    <x v="1"/>
    <x v="195"/>
    <s v="No"/>
    <n v="5"/>
    <x v="0"/>
    <s v="No"/>
    <s v="-"/>
    <s v="No"/>
    <n v="0"/>
    <n v="1"/>
    <x v="4"/>
  </r>
  <r>
    <n v="3428"/>
    <s v="Joana Silveira"/>
    <x v="0"/>
    <x v="196"/>
    <s v="Yes"/>
    <n v="15"/>
    <x v="1"/>
    <s v="Yes"/>
    <n v="30"/>
    <s v="Yes"/>
    <n v="20"/>
    <n v="3"/>
    <x v="3"/>
  </r>
  <r>
    <n v="3429"/>
    <s v="Lucas Martins"/>
    <x v="2"/>
    <x v="197"/>
    <s v="No"/>
    <n v="10"/>
    <x v="0"/>
    <s v="No"/>
    <s v="-"/>
    <s v="Yes"/>
    <n v="20"/>
    <n v="10"/>
    <x v="2"/>
  </r>
  <r>
    <n v="3430"/>
    <s v="Marcela Gouveia"/>
    <x v="1"/>
    <x v="198"/>
    <s v="Yes"/>
    <n v="5"/>
    <x v="2"/>
    <s v="No"/>
    <s v="-"/>
    <s v="No"/>
    <n v="0"/>
    <n v="0"/>
    <x v="1"/>
  </r>
  <r>
    <n v="3431"/>
    <s v="Nicolas Borges"/>
    <x v="0"/>
    <x v="199"/>
    <s v="No"/>
    <n v="15"/>
    <x v="0"/>
    <s v="Yes"/>
    <n v="30"/>
    <s v="Yes"/>
    <n v="20"/>
    <n v="15"/>
    <x v="14"/>
  </r>
  <r>
    <n v="3432"/>
    <s v="Olivia Freitas"/>
    <x v="2"/>
    <x v="200"/>
    <s v="Yes"/>
    <n v="10"/>
    <x v="1"/>
    <s v="No"/>
    <s v="-"/>
    <s v="Yes"/>
    <n v="20"/>
    <n v="15"/>
    <x v="7"/>
  </r>
  <r>
    <n v="3433"/>
    <s v="Paulo Nogueira"/>
    <x v="1"/>
    <x v="201"/>
    <s v="No"/>
    <n v="5"/>
    <x v="0"/>
    <s v="No"/>
    <s v="-"/>
    <s v="No"/>
    <n v="0"/>
    <n v="1"/>
    <x v="4"/>
  </r>
  <r>
    <n v="3434"/>
    <s v="Raquel Andrade"/>
    <x v="0"/>
    <x v="202"/>
    <s v="Yes"/>
    <n v="15"/>
    <x v="2"/>
    <s v="Yes"/>
    <n v="30"/>
    <s v="Yes"/>
    <n v="20"/>
    <n v="7"/>
    <x v="12"/>
  </r>
  <r>
    <n v="3435"/>
    <s v="Sônia Carvalho"/>
    <x v="2"/>
    <x v="203"/>
    <s v="No"/>
    <n v="10"/>
    <x v="0"/>
    <s v="No"/>
    <s v="-"/>
    <s v="Yes"/>
    <n v="20"/>
    <n v="10"/>
    <x v="2"/>
  </r>
  <r>
    <n v="3436"/>
    <s v="Tiago Rodrigues"/>
    <x v="1"/>
    <x v="204"/>
    <s v="Yes"/>
    <n v="5"/>
    <x v="0"/>
    <s v="No"/>
    <s v="-"/>
    <s v="No"/>
    <n v="0"/>
    <n v="0"/>
    <x v="1"/>
  </r>
  <r>
    <n v="3437"/>
    <s v="Ursula Monteiro"/>
    <x v="0"/>
    <x v="205"/>
    <s v="No"/>
    <n v="15"/>
    <x v="2"/>
    <s v="Yes"/>
    <n v="30"/>
    <s v="Yes"/>
    <n v="20"/>
    <n v="7"/>
    <x v="12"/>
  </r>
  <r>
    <n v="3438"/>
    <s v="Vanessa Pereira"/>
    <x v="2"/>
    <x v="206"/>
    <s v="Yes"/>
    <n v="10"/>
    <x v="1"/>
    <s v="No"/>
    <s v="-"/>
    <s v="Yes"/>
    <n v="20"/>
    <n v="10"/>
    <x v="2"/>
  </r>
  <r>
    <n v="3439"/>
    <s v="Walter Silva"/>
    <x v="1"/>
    <x v="207"/>
    <s v="No"/>
    <n v="5"/>
    <x v="2"/>
    <s v="No"/>
    <s v="-"/>
    <s v="No"/>
    <n v="0"/>
    <n v="1"/>
    <x v="4"/>
  </r>
  <r>
    <n v="3440"/>
    <s v="Xavier Almeida"/>
    <x v="0"/>
    <x v="208"/>
    <s v="Yes"/>
    <n v="15"/>
    <x v="0"/>
    <s v="Yes"/>
    <n v="30"/>
    <s v="Yes"/>
    <n v="20"/>
    <n v="15"/>
    <x v="14"/>
  </r>
  <r>
    <n v="3441"/>
    <s v="Yasmine Correia"/>
    <x v="2"/>
    <x v="209"/>
    <s v="No"/>
    <n v="10"/>
    <x v="0"/>
    <s v="No"/>
    <s v="-"/>
    <s v="Yes"/>
    <n v="20"/>
    <n v="5"/>
    <x v="13"/>
  </r>
  <r>
    <n v="3442"/>
    <s v="Zacarias Almeida"/>
    <x v="1"/>
    <x v="210"/>
    <s v="Yes"/>
    <n v="5"/>
    <x v="1"/>
    <s v="No"/>
    <s v="-"/>
    <s v="No"/>
    <n v="0"/>
    <n v="0"/>
    <x v="1"/>
  </r>
  <r>
    <n v="3443"/>
    <s v="Amanda Costa"/>
    <x v="0"/>
    <x v="211"/>
    <s v="No"/>
    <n v="15"/>
    <x v="2"/>
    <s v="Yes"/>
    <n v="30"/>
    <s v="Yes"/>
    <n v="20"/>
    <n v="20"/>
    <x v="8"/>
  </r>
  <r>
    <n v="3444"/>
    <s v="Bruno Ferreira"/>
    <x v="2"/>
    <x v="212"/>
    <s v="Yes"/>
    <n v="10"/>
    <x v="2"/>
    <s v="No"/>
    <s v="-"/>
    <s v="Yes"/>
    <n v="20"/>
    <n v="12"/>
    <x v="10"/>
  </r>
  <r>
    <n v="3445"/>
    <s v="Carla Dias"/>
    <x v="1"/>
    <x v="213"/>
    <s v="No"/>
    <n v="5"/>
    <x v="0"/>
    <s v="No"/>
    <s v="-"/>
    <s v="No"/>
    <n v="0"/>
    <n v="2"/>
    <x v="11"/>
  </r>
  <r>
    <n v="3446"/>
    <s v="Diogo Martins"/>
    <x v="0"/>
    <x v="214"/>
    <s v="Yes"/>
    <n v="15"/>
    <x v="1"/>
    <s v="Yes"/>
    <n v="30"/>
    <s v="Yes"/>
    <n v="20"/>
    <n v="5"/>
    <x v="0"/>
  </r>
  <r>
    <n v="3447"/>
    <s v="Elisa Campos"/>
    <x v="2"/>
    <x v="215"/>
    <s v="No"/>
    <n v="10"/>
    <x v="0"/>
    <s v="No"/>
    <s v="-"/>
    <s v="Yes"/>
    <n v="20"/>
    <n v="10"/>
    <x v="2"/>
  </r>
  <r>
    <n v="3448"/>
    <s v="Fabiana Lima"/>
    <x v="1"/>
    <x v="216"/>
    <s v="Yes"/>
    <n v="5"/>
    <x v="2"/>
    <s v="No"/>
    <s v="-"/>
    <s v="No"/>
    <n v="0"/>
    <n v="0"/>
    <x v="1"/>
  </r>
  <r>
    <n v="3449"/>
    <s v="Gabriel Santos"/>
    <x v="0"/>
    <x v="217"/>
    <s v="No"/>
    <n v="15"/>
    <x v="0"/>
    <s v="Yes"/>
    <n v="30"/>
    <s v="Yes"/>
    <n v="20"/>
    <n v="3"/>
    <x v="3"/>
  </r>
  <r>
    <n v="3450"/>
    <s v="Helena Ferreira"/>
    <x v="2"/>
    <x v="218"/>
    <s v="Yes"/>
    <n v="10"/>
    <x v="1"/>
    <s v="No"/>
    <s v="-"/>
    <s v="Yes"/>
    <n v="20"/>
    <n v="15"/>
    <x v="7"/>
  </r>
  <r>
    <n v="3451"/>
    <s v="Ígor Nunes"/>
    <x v="1"/>
    <x v="219"/>
    <s v="No"/>
    <n v="5"/>
    <x v="0"/>
    <s v="No"/>
    <s v="-"/>
    <s v="No"/>
    <n v="0"/>
    <n v="1"/>
    <x v="4"/>
  </r>
  <r>
    <n v="3452"/>
    <s v="Joana Silveira"/>
    <x v="0"/>
    <x v="220"/>
    <s v="Yes"/>
    <n v="15"/>
    <x v="2"/>
    <s v="Yes"/>
    <n v="30"/>
    <s v="Yes"/>
    <n v="20"/>
    <n v="7"/>
    <x v="12"/>
  </r>
  <r>
    <n v="3453"/>
    <s v="Kléber Oliveira"/>
    <x v="2"/>
    <x v="221"/>
    <s v="No"/>
    <n v="10"/>
    <x v="0"/>
    <s v="No"/>
    <s v="-"/>
    <s v="Yes"/>
    <n v="20"/>
    <n v="10"/>
    <x v="2"/>
  </r>
  <r>
    <n v="3454"/>
    <s v="Luciana Morais"/>
    <x v="1"/>
    <x v="222"/>
    <s v="Yes"/>
    <n v="5"/>
    <x v="1"/>
    <s v="No"/>
    <s v="-"/>
    <s v="No"/>
    <n v="0"/>
    <n v="0"/>
    <x v="1"/>
  </r>
  <r>
    <n v="3455"/>
    <s v="Marcos Vinícius"/>
    <x v="0"/>
    <x v="223"/>
    <s v="No"/>
    <n v="15"/>
    <x v="0"/>
    <s v="Yes"/>
    <n v="30"/>
    <s v="Yes"/>
    <n v="20"/>
    <n v="20"/>
    <x v="8"/>
  </r>
  <r>
    <n v="3456"/>
    <s v="Natália Barros"/>
    <x v="2"/>
    <x v="224"/>
    <s v="Yes"/>
    <n v="10"/>
    <x v="2"/>
    <s v="No"/>
    <s v="-"/>
    <s v="Yes"/>
    <n v="20"/>
    <n v="15"/>
    <x v="7"/>
  </r>
  <r>
    <n v="3457"/>
    <s v="Oscar Sampaio"/>
    <x v="1"/>
    <x v="225"/>
    <s v="No"/>
    <n v="5"/>
    <x v="0"/>
    <s v="No"/>
    <s v="-"/>
    <s v="No"/>
    <n v="0"/>
    <n v="1"/>
    <x v="4"/>
  </r>
  <r>
    <n v="3458"/>
    <s v="Patrícia Leite"/>
    <x v="0"/>
    <x v="226"/>
    <s v="Yes"/>
    <n v="15"/>
    <x v="1"/>
    <s v="Yes"/>
    <n v="30"/>
    <s v="Yes"/>
    <n v="20"/>
    <n v="3"/>
    <x v="3"/>
  </r>
  <r>
    <n v="3459"/>
    <s v="Quênia Rocha"/>
    <x v="2"/>
    <x v="227"/>
    <s v="No"/>
    <n v="10"/>
    <x v="0"/>
    <s v="No"/>
    <s v="-"/>
    <s v="Yes"/>
    <n v="20"/>
    <n v="10"/>
    <x v="2"/>
  </r>
  <r>
    <n v="3460"/>
    <s v="Rafael Torres"/>
    <x v="1"/>
    <x v="228"/>
    <s v="Yes"/>
    <n v="5"/>
    <x v="2"/>
    <s v="No"/>
    <s v="-"/>
    <s v="No"/>
    <n v="0"/>
    <n v="0"/>
    <x v="1"/>
  </r>
  <r>
    <n v="3461"/>
    <s v="Sandra Gouveia"/>
    <x v="0"/>
    <x v="229"/>
    <s v="No"/>
    <n v="15"/>
    <x v="0"/>
    <s v="Yes"/>
    <n v="30"/>
    <s v="Yes"/>
    <n v="20"/>
    <n v="15"/>
    <x v="14"/>
  </r>
  <r>
    <n v="3462"/>
    <s v="Tiago Lacerda"/>
    <x v="2"/>
    <x v="230"/>
    <s v="Yes"/>
    <n v="10"/>
    <x v="1"/>
    <s v="No"/>
    <s v="-"/>
    <s v="Yes"/>
    <n v="20"/>
    <n v="15"/>
    <x v="7"/>
  </r>
  <r>
    <n v="3463"/>
    <s v="Ursula Fonseca"/>
    <x v="1"/>
    <x v="231"/>
    <s v="No"/>
    <n v="5"/>
    <x v="0"/>
    <s v="No"/>
    <s v="-"/>
    <s v="No"/>
    <n v="0"/>
    <n v="1"/>
    <x v="4"/>
  </r>
  <r>
    <n v="3464"/>
    <s v="Vanessa Andrade"/>
    <x v="0"/>
    <x v="232"/>
    <s v="Yes"/>
    <n v="15"/>
    <x v="2"/>
    <s v="Yes"/>
    <n v="30"/>
    <s v="Yes"/>
    <n v="20"/>
    <n v="7"/>
    <x v="12"/>
  </r>
  <r>
    <n v="3465"/>
    <s v="William Castro"/>
    <x v="2"/>
    <x v="233"/>
    <s v="No"/>
    <n v="10"/>
    <x v="0"/>
    <s v="No"/>
    <s v="-"/>
    <s v="Yes"/>
    <n v="20"/>
    <n v="10"/>
    <x v="2"/>
  </r>
  <r>
    <n v="3466"/>
    <s v="Xavier Monteiro"/>
    <x v="1"/>
    <x v="234"/>
    <s v="Yes"/>
    <n v="5"/>
    <x v="1"/>
    <s v="No"/>
    <s v="-"/>
    <s v="No"/>
    <n v="0"/>
    <n v="0"/>
    <x v="1"/>
  </r>
  <r>
    <n v="3467"/>
    <s v="Yasmin Figueira"/>
    <x v="0"/>
    <x v="235"/>
    <s v="No"/>
    <n v="15"/>
    <x v="0"/>
    <s v="Yes"/>
    <n v="30"/>
    <s v="Yes"/>
    <n v="20"/>
    <n v="15"/>
    <x v="14"/>
  </r>
  <r>
    <n v="3468"/>
    <s v="Zacarias Mendonça"/>
    <x v="2"/>
    <x v="236"/>
    <s v="Yes"/>
    <n v="10"/>
    <x v="2"/>
    <s v="No"/>
    <s v="-"/>
    <s v="Yes"/>
    <n v="20"/>
    <n v="12"/>
    <x v="10"/>
  </r>
  <r>
    <n v="3469"/>
    <s v="Amanda Menezes"/>
    <x v="1"/>
    <x v="237"/>
    <s v="No"/>
    <n v="5"/>
    <x v="0"/>
    <s v="No"/>
    <s v="-"/>
    <s v="No"/>
    <n v="0"/>
    <n v="2"/>
    <x v="11"/>
  </r>
  <r>
    <n v="3470"/>
    <s v="Bruno Santos"/>
    <x v="0"/>
    <x v="238"/>
    <s v="Yes"/>
    <n v="15"/>
    <x v="1"/>
    <s v="Yes"/>
    <n v="30"/>
    <s v="Yes"/>
    <n v="20"/>
    <n v="5"/>
    <x v="0"/>
  </r>
  <r>
    <n v="3471"/>
    <s v="Carla Ferreira"/>
    <x v="2"/>
    <x v="239"/>
    <s v="No"/>
    <n v="10"/>
    <x v="0"/>
    <s v="No"/>
    <s v="-"/>
    <s v="Yes"/>
    <n v="20"/>
    <n v="10"/>
    <x v="2"/>
  </r>
  <r>
    <n v="3472"/>
    <s v="Diogo Alves"/>
    <x v="1"/>
    <x v="240"/>
    <s v="Yes"/>
    <n v="5"/>
    <x v="2"/>
    <s v="No"/>
    <s v="-"/>
    <s v="No"/>
    <n v="0"/>
    <n v="0"/>
    <x v="1"/>
  </r>
  <r>
    <n v="3473"/>
    <s v="Elisa Neves"/>
    <x v="0"/>
    <x v="241"/>
    <s v="No"/>
    <n v="15"/>
    <x v="0"/>
    <s v="Yes"/>
    <n v="30"/>
    <s v="Yes"/>
    <n v="20"/>
    <n v="3"/>
    <x v="3"/>
  </r>
  <r>
    <n v="3474"/>
    <s v="Fabiano Pires"/>
    <x v="2"/>
    <x v="242"/>
    <s v="Yes"/>
    <n v="10"/>
    <x v="1"/>
    <s v="No"/>
    <s v="-"/>
    <s v="Yes"/>
    <n v="20"/>
    <n v="15"/>
    <x v="7"/>
  </r>
  <r>
    <n v="3475"/>
    <s v="Giovana Ribeiro"/>
    <x v="1"/>
    <x v="243"/>
    <s v="No"/>
    <n v="5"/>
    <x v="0"/>
    <s v="No"/>
    <s v="-"/>
    <s v="No"/>
    <n v="0"/>
    <n v="1"/>
    <x v="4"/>
  </r>
  <r>
    <n v="3476"/>
    <s v="Hélio Costa"/>
    <x v="0"/>
    <x v="244"/>
    <s v="Yes"/>
    <n v="15"/>
    <x v="2"/>
    <s v="Yes"/>
    <n v="30"/>
    <s v="Yes"/>
    <n v="20"/>
    <n v="7"/>
    <x v="12"/>
  </r>
  <r>
    <n v="3477"/>
    <s v="Íris Loureiro"/>
    <x v="2"/>
    <x v="245"/>
    <s v="No"/>
    <n v="10"/>
    <x v="0"/>
    <s v="No"/>
    <s v="-"/>
    <s v="Yes"/>
    <n v="20"/>
    <n v="10"/>
    <x v="2"/>
  </r>
  <r>
    <n v="3478"/>
    <s v="João Pereira"/>
    <x v="1"/>
    <x v="246"/>
    <s v="Yes"/>
    <n v="5"/>
    <x v="1"/>
    <s v="No"/>
    <s v="-"/>
    <s v="No"/>
    <n v="0"/>
    <n v="0"/>
    <x v="1"/>
  </r>
  <r>
    <n v="3479"/>
    <s v="Klara Silva"/>
    <x v="0"/>
    <x v="247"/>
    <s v="No"/>
    <n v="15"/>
    <x v="0"/>
    <s v="Yes"/>
    <n v="30"/>
    <s v="Yes"/>
    <n v="20"/>
    <n v="20"/>
    <x v="8"/>
  </r>
  <r>
    <n v="3480"/>
    <s v="Luciana Barros"/>
    <x v="2"/>
    <x v="248"/>
    <s v="Yes"/>
    <n v="10"/>
    <x v="2"/>
    <s v="No"/>
    <s v="-"/>
    <s v="Yes"/>
    <n v="20"/>
    <n v="15"/>
    <x v="7"/>
  </r>
  <r>
    <n v="3481"/>
    <s v="Marcos Gomes"/>
    <x v="1"/>
    <x v="249"/>
    <s v="No"/>
    <n v="5"/>
    <x v="0"/>
    <s v="No"/>
    <s v="-"/>
    <s v="No"/>
    <n v="0"/>
    <n v="1"/>
    <x v="4"/>
  </r>
  <r>
    <n v="3482"/>
    <s v="Natália Soares"/>
    <x v="0"/>
    <x v="250"/>
    <s v="Yes"/>
    <n v="15"/>
    <x v="1"/>
    <s v="Yes"/>
    <n v="30"/>
    <s v="Yes"/>
    <n v="20"/>
    <n v="3"/>
    <x v="3"/>
  </r>
  <r>
    <n v="3483"/>
    <s v="Oscar Machado"/>
    <x v="2"/>
    <x v="251"/>
    <s v="No"/>
    <n v="10"/>
    <x v="0"/>
    <s v="No"/>
    <s v="-"/>
    <s v="Yes"/>
    <n v="20"/>
    <n v="10"/>
    <x v="2"/>
  </r>
  <r>
    <n v="3484"/>
    <s v="Patrícia Lima"/>
    <x v="1"/>
    <x v="252"/>
    <s v="Yes"/>
    <n v="5"/>
    <x v="2"/>
    <s v="No"/>
    <s v="-"/>
    <s v="No"/>
    <n v="0"/>
    <n v="0"/>
    <x v="1"/>
  </r>
  <r>
    <n v="3485"/>
    <s v="Quirino Neto"/>
    <x v="0"/>
    <x v="253"/>
    <s v="No"/>
    <n v="15"/>
    <x v="0"/>
    <s v="Yes"/>
    <n v="30"/>
    <s v="Yes"/>
    <n v="20"/>
    <n v="15"/>
    <x v="14"/>
  </r>
  <r>
    <n v="3486"/>
    <s v="Rafaela Souza"/>
    <x v="1"/>
    <x v="254"/>
    <s v="Yes"/>
    <n v="5"/>
    <x v="0"/>
    <s v="No"/>
    <s v="-"/>
    <s v="No"/>
    <n v="0"/>
    <n v="0"/>
    <x v="1"/>
  </r>
  <r>
    <n v="3487"/>
    <s v="Sandro Almeida"/>
    <x v="0"/>
    <x v="255"/>
    <s v="No"/>
    <n v="15"/>
    <x v="2"/>
    <s v="Yes"/>
    <n v="30"/>
    <s v="Yes"/>
    <n v="20"/>
    <n v="7"/>
    <x v="12"/>
  </r>
  <r>
    <n v="3488"/>
    <s v="Tânia Ribeiro"/>
    <x v="2"/>
    <x v="256"/>
    <s v="Yes"/>
    <n v="10"/>
    <x v="1"/>
    <s v="No"/>
    <s v="-"/>
    <s v="Yes"/>
    <n v="20"/>
    <n v="10"/>
    <x v="2"/>
  </r>
  <r>
    <n v="3489"/>
    <s v="Ugo Dias"/>
    <x v="1"/>
    <x v="257"/>
    <s v="No"/>
    <n v="5"/>
    <x v="2"/>
    <s v="No"/>
    <s v="-"/>
    <s v="No"/>
    <n v="0"/>
    <n v="1"/>
    <x v="4"/>
  </r>
  <r>
    <n v="3490"/>
    <s v="Valéria Lima"/>
    <x v="0"/>
    <x v="258"/>
    <s v="Yes"/>
    <n v="15"/>
    <x v="0"/>
    <s v="Yes"/>
    <n v="30"/>
    <s v="Yes"/>
    <n v="20"/>
    <n v="15"/>
    <x v="14"/>
  </r>
  <r>
    <n v="3491"/>
    <s v="William Fernandes"/>
    <x v="2"/>
    <x v="259"/>
    <s v="No"/>
    <n v="10"/>
    <x v="0"/>
    <s v="No"/>
    <s v="-"/>
    <s v="Yes"/>
    <n v="20"/>
    <n v="5"/>
    <x v="13"/>
  </r>
  <r>
    <n v="3492"/>
    <s v="Xuxa Mendes"/>
    <x v="1"/>
    <x v="260"/>
    <s v="Yes"/>
    <n v="5"/>
    <x v="1"/>
    <s v="No"/>
    <s v="-"/>
    <s v="No"/>
    <n v="0"/>
    <n v="0"/>
    <x v="1"/>
  </r>
  <r>
    <n v="3493"/>
    <s v="Ygor Farias"/>
    <x v="0"/>
    <x v="261"/>
    <s v="No"/>
    <n v="15"/>
    <x v="2"/>
    <s v="Yes"/>
    <n v="30"/>
    <s v="Yes"/>
    <n v="20"/>
    <n v="20"/>
    <x v="8"/>
  </r>
  <r>
    <n v="3494"/>
    <s v="Zilda Barros"/>
    <x v="2"/>
    <x v="262"/>
    <s v="Yes"/>
    <n v="10"/>
    <x v="2"/>
    <s v="No"/>
    <s v="-"/>
    <s v="Yes"/>
    <n v="20"/>
    <n v="12"/>
    <x v="10"/>
  </r>
  <r>
    <n v="3495"/>
    <s v="Amanda Santos"/>
    <x v="1"/>
    <x v="263"/>
    <s v="No"/>
    <n v="5"/>
    <x v="0"/>
    <s v="No"/>
    <s v="-"/>
    <s v="No"/>
    <n v="0"/>
    <n v="2"/>
    <x v="11"/>
  </r>
  <r>
    <n v="3496"/>
    <s v="Bruno Costa"/>
    <x v="0"/>
    <x v="264"/>
    <s v="Yes"/>
    <n v="15"/>
    <x v="1"/>
    <s v="Yes"/>
    <n v="30"/>
    <s v="Yes"/>
    <n v="20"/>
    <n v="5"/>
    <x v="0"/>
  </r>
  <r>
    <n v="3497"/>
    <s v="Carla Rodrigues"/>
    <x v="2"/>
    <x v="265"/>
    <s v="No"/>
    <n v="10"/>
    <x v="0"/>
    <s v="No"/>
    <s v="-"/>
    <s v="Yes"/>
    <n v="20"/>
    <n v="10"/>
    <x v="2"/>
  </r>
  <r>
    <n v="3498"/>
    <s v="Diogo Pereira"/>
    <x v="1"/>
    <x v="266"/>
    <s v="Yes"/>
    <n v="5"/>
    <x v="2"/>
    <s v="No"/>
    <s v="-"/>
    <s v="No"/>
    <n v="0"/>
    <n v="0"/>
    <x v="1"/>
  </r>
  <r>
    <n v="3499"/>
    <s v="Elisa Correia"/>
    <x v="0"/>
    <x v="267"/>
    <s v="No"/>
    <n v="15"/>
    <x v="0"/>
    <s v="Yes"/>
    <n v="30"/>
    <s v="Yes"/>
    <n v="20"/>
    <n v="3"/>
    <x v="3"/>
  </r>
  <r>
    <n v="3500"/>
    <s v="Fábio Lourenço"/>
    <x v="2"/>
    <x v="268"/>
    <s v="Yes"/>
    <n v="10"/>
    <x v="1"/>
    <s v="No"/>
    <s v="-"/>
    <s v="Yes"/>
    <n v="20"/>
    <n v="15"/>
    <x v="7"/>
  </r>
  <r>
    <n v="3501"/>
    <s v="Gabriela Neves"/>
    <x v="1"/>
    <x v="269"/>
    <s v="No"/>
    <n v="5"/>
    <x v="0"/>
    <s v="No"/>
    <s v="-"/>
    <s v="No"/>
    <n v="0"/>
    <n v="1"/>
    <x v="4"/>
  </r>
  <r>
    <n v="3502"/>
    <s v="Henrique Gonçalves"/>
    <x v="0"/>
    <x v="270"/>
    <s v="Yes"/>
    <n v="15"/>
    <x v="2"/>
    <s v="Yes"/>
    <n v="30"/>
    <s v="Yes"/>
    <n v="20"/>
    <n v="7"/>
    <x v="12"/>
  </r>
  <r>
    <n v="3503"/>
    <s v="Íris Santos"/>
    <x v="2"/>
    <x v="271"/>
    <s v="No"/>
    <n v="10"/>
    <x v="0"/>
    <s v="No"/>
    <s v="-"/>
    <s v="Yes"/>
    <n v="20"/>
    <n v="10"/>
    <x v="2"/>
  </r>
  <r>
    <n v="3504"/>
    <s v="João Marcelo Alves"/>
    <x v="1"/>
    <x v="272"/>
    <s v="Yes"/>
    <n v="5"/>
    <x v="1"/>
    <s v="No"/>
    <s v="-"/>
    <s v="No"/>
    <n v="0"/>
    <n v="0"/>
    <x v="1"/>
  </r>
  <r>
    <n v="3505"/>
    <s v="Klara Fonseca"/>
    <x v="0"/>
    <x v="273"/>
    <s v="No"/>
    <n v="15"/>
    <x v="0"/>
    <s v="Yes"/>
    <n v="30"/>
    <s v="Yes"/>
    <n v="20"/>
    <n v="20"/>
    <x v="8"/>
  </r>
  <r>
    <n v="3506"/>
    <s v="Lucas Mendonça"/>
    <x v="2"/>
    <x v="274"/>
    <s v="Yes"/>
    <n v="10"/>
    <x v="2"/>
    <s v="No"/>
    <s v="-"/>
    <s v="Yes"/>
    <n v="20"/>
    <n v="15"/>
    <x v="7"/>
  </r>
  <r>
    <n v="3507"/>
    <s v="Marcela Torres"/>
    <x v="1"/>
    <x v="275"/>
    <s v="No"/>
    <n v="5"/>
    <x v="0"/>
    <s v="No"/>
    <s v="-"/>
    <s v="No"/>
    <n v="0"/>
    <n v="1"/>
    <x v="4"/>
  </r>
  <r>
    <n v="3508"/>
    <s v="Natália Castro"/>
    <x v="0"/>
    <x v="276"/>
    <s v="Yes"/>
    <n v="15"/>
    <x v="1"/>
    <s v="Yes"/>
    <n v="30"/>
    <s v="Yes"/>
    <n v="20"/>
    <n v="3"/>
    <x v="3"/>
  </r>
  <r>
    <n v="3509"/>
    <s v="Oscar Martins"/>
    <x v="2"/>
    <x v="277"/>
    <s v="No"/>
    <n v="10"/>
    <x v="0"/>
    <s v="No"/>
    <s v="-"/>
    <s v="Yes"/>
    <n v="20"/>
    <n v="10"/>
    <x v="2"/>
  </r>
  <r>
    <n v="3510"/>
    <s v="Patrícia Oliveira"/>
    <x v="1"/>
    <x v="278"/>
    <s v="Yes"/>
    <n v="5"/>
    <x v="2"/>
    <s v="No"/>
    <s v="-"/>
    <s v="No"/>
    <n v="0"/>
    <n v="0"/>
    <x v="1"/>
  </r>
  <r>
    <n v="3511"/>
    <s v="Quentin Nogueira"/>
    <x v="0"/>
    <x v="279"/>
    <s v="No"/>
    <n v="15"/>
    <x v="0"/>
    <s v="Yes"/>
    <n v="30"/>
    <s v="Yes"/>
    <n v="20"/>
    <n v="15"/>
    <x v="14"/>
  </r>
  <r>
    <n v="3512"/>
    <s v="Raquel Silva"/>
    <x v="2"/>
    <x v="280"/>
    <s v="Yes"/>
    <n v="10"/>
    <x v="1"/>
    <s v="No"/>
    <s v="-"/>
    <s v="Yes"/>
    <n v="20"/>
    <n v="15"/>
    <x v="7"/>
  </r>
  <r>
    <n v="3513"/>
    <s v="Sandro Gomes"/>
    <x v="1"/>
    <x v="281"/>
    <s v="No"/>
    <n v="5"/>
    <x v="0"/>
    <s v="No"/>
    <s v="-"/>
    <s v="No"/>
    <n v="0"/>
    <n v="1"/>
    <x v="4"/>
  </r>
  <r>
    <n v="3514"/>
    <s v="Tânia Machado"/>
    <x v="0"/>
    <x v="282"/>
    <s v="Yes"/>
    <n v="15"/>
    <x v="2"/>
    <s v="Yes"/>
    <n v="30"/>
    <s v="Yes"/>
    <n v="20"/>
    <n v="7"/>
    <x v="12"/>
  </r>
  <r>
    <n v="3515"/>
    <s v="Ursula Silva"/>
    <x v="2"/>
    <x v="283"/>
    <s v="No"/>
    <n v="10"/>
    <x v="0"/>
    <s v="No"/>
    <s v="-"/>
    <s v="Yes"/>
    <n v="20"/>
    <n v="10"/>
    <x v="2"/>
  </r>
  <r>
    <n v="3516"/>
    <s v="Vanessa Moraes"/>
    <x v="1"/>
    <x v="284"/>
    <s v="Yes"/>
    <n v="5"/>
    <x v="1"/>
    <s v="No"/>
    <s v="-"/>
    <s v="No"/>
    <n v="0"/>
    <n v="0"/>
    <x v="1"/>
  </r>
  <r>
    <n v="3517"/>
    <s v="William Carvalho"/>
    <x v="0"/>
    <x v="285"/>
    <s v="No"/>
    <n v="15"/>
    <x v="0"/>
    <s v="Yes"/>
    <n v="30"/>
    <s v="Yes"/>
    <n v="20"/>
    <n v="20"/>
    <x v="8"/>
  </r>
  <r>
    <n v="3518"/>
    <s v="Xavier Reis"/>
    <x v="2"/>
    <x v="286"/>
    <s v="Yes"/>
    <n v="10"/>
    <x v="2"/>
    <s v="No"/>
    <s v="-"/>
    <s v="Yes"/>
    <n v="20"/>
    <n v="12"/>
    <x v="10"/>
  </r>
  <r>
    <n v="3519"/>
    <s v="Yasmin Rocha"/>
    <x v="1"/>
    <x v="287"/>
    <s v="No"/>
    <n v="5"/>
    <x v="0"/>
    <s v="No"/>
    <s v="-"/>
    <s v="No"/>
    <n v="0"/>
    <n v="2"/>
    <x v="11"/>
  </r>
  <r>
    <n v="3520"/>
    <s v="Zacarias Duarte"/>
    <x v="0"/>
    <x v="288"/>
    <s v="Yes"/>
    <n v="15"/>
    <x v="1"/>
    <s v="Yes"/>
    <n v="30"/>
    <s v="Yes"/>
    <n v="20"/>
    <n v="5"/>
    <x v="0"/>
  </r>
  <r>
    <n v="3521"/>
    <s v="Amanda Freitas"/>
    <x v="2"/>
    <x v="289"/>
    <s v="No"/>
    <n v="10"/>
    <x v="0"/>
    <s v="No"/>
    <s v="-"/>
    <s v="Yes"/>
    <n v="20"/>
    <n v="10"/>
    <x v="2"/>
  </r>
  <r>
    <n v="3522"/>
    <s v="Bruno Almeida"/>
    <x v="1"/>
    <x v="290"/>
    <s v="Yes"/>
    <n v="5"/>
    <x v="2"/>
    <s v="No"/>
    <s v="-"/>
    <s v="No"/>
    <n v="0"/>
    <n v="0"/>
    <x v="1"/>
  </r>
  <r>
    <n v="3523"/>
    <s v="Carla Siqueira"/>
    <x v="0"/>
    <x v="291"/>
    <s v="No"/>
    <n v="15"/>
    <x v="0"/>
    <s v="Yes"/>
    <n v="30"/>
    <s v="Yes"/>
    <n v="20"/>
    <n v="3"/>
    <x v="3"/>
  </r>
  <r>
    <n v="3524"/>
    <s v="Diogo Ramos"/>
    <x v="2"/>
    <x v="292"/>
    <s v="Yes"/>
    <n v="10"/>
    <x v="1"/>
    <s v="No"/>
    <s v="-"/>
    <s v="Yes"/>
    <n v="20"/>
    <n v="15"/>
    <x v="7"/>
  </r>
  <r>
    <n v="3525"/>
    <s v="Elisa Magalhães"/>
    <x v="1"/>
    <x v="293"/>
    <s v="No"/>
    <n v="5"/>
    <x v="0"/>
    <s v="No"/>
    <s v="-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7" cacheId="0" applyNumberFormats="0" applyBorderFormats="0" applyFontFormats="0" applyPatternFormats="0" applyAlignmentFormats="0" applyWidthHeightFormats="1" dataCaption="Valores" updatedVersion="6" minRefreshableVersion="3" showDrill="0" showDataTips="0" useAutoFormatting="1" itemPrintTitles="1" createdVersion="6" indent="0" showHeaders="0" outline="1" outlineData="1" multipleFieldFilters="0" chartFormat="4">
  <location ref="B28:D32" firstHeaderRow="0" firstDataRow="1" firstDataCol="1" rowPageCount="1" colPageCount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multipleItemSelectionAllowed="1" showAll="0" defaultSubtotal="0"/>
    <pivotField numFmtId="44" showAll="0"/>
    <pivotField axis="axisPage" showAll="0">
      <items count="4">
        <item x="1"/>
        <item x="0"/>
        <item x="2"/>
        <item t="default"/>
      </items>
    </pivotField>
    <pivotField showAll="0" countASubtotal="1"/>
    <pivotField dataField="1" showAll="0"/>
    <pivotField showAll="0"/>
    <pivotField dataField="1" numFmtId="44" showAll="0"/>
    <pivotField numFmtId="44" showAll="0"/>
    <pivotField numFmtId="44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6" item="2" hier="-1"/>
  </pageFields>
  <dataFields count="2">
    <dataField name="Soma de Minecraft Season Pass Price" fld="10" baseField="2" baseItem="0" numFmtId="44"/>
    <dataField name="Soma de EA Play Season Pass" fld="8" baseField="2" baseItem="0"/>
  </dataFields>
  <formats count="11">
    <format dxfId="469">
      <pivotArea grandRow="1" outline="0" collapsedLevelsAreSubtotals="1" fieldPosition="0"/>
    </format>
    <format dxfId="468">
      <pivotArea grandRow="1" outline="0" collapsedLevelsAreSubtotals="1" fieldPosition="0"/>
    </format>
    <format dxfId="467">
      <pivotArea outline="0" collapsedLevelsAreSubtotals="1" fieldPosition="0"/>
    </format>
    <format dxfId="466">
      <pivotArea outline="0" collapsedLevelsAreSubtotals="1" fieldPosition="0"/>
    </format>
    <format dxfId="46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64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63">
      <pivotArea collapsedLevelsAreSubtotals="1" fieldPosition="0">
        <references count="2">
          <reference field="4294967294" count="1" selected="0">
            <x v="1"/>
          </reference>
          <reference field="2" count="1">
            <x v="2"/>
          </reference>
        </references>
      </pivotArea>
    </format>
    <format dxfId="462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61">
      <pivotArea collapsedLevelsAreSubtotals="1" fieldPosition="0">
        <references count="2">
          <reference field="4294967294" count="1" selected="0">
            <x v="1"/>
          </reference>
          <reference field="2" count="1">
            <x v="2"/>
          </reference>
        </references>
      </pivotArea>
    </format>
    <format dxfId="460">
      <pivotArea collapsedLevelsAreSubtotals="1" fieldPosition="0">
        <references count="2">
          <reference field="4294967294" count="1" selected="0">
            <x v="1"/>
          </reference>
          <reference field="2" count="1">
            <x v="2"/>
          </reference>
        </references>
      </pivotArea>
    </format>
    <format dxfId="459">
      <pivotArea dataOnly="0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</formats>
  <chartFormats count="2"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6" cacheId="0" applyNumberFormats="0" applyBorderFormats="0" applyFontFormats="0" applyPatternFormats="0" applyAlignmentFormats="0" applyWidthHeightFormats="1" dataCaption="Valores" updatedVersion="6" minRefreshableVersion="5" useAutoFormatting="1" itemPrintTitles="1" createdVersion="6" indent="0" outline="1" outlineData="1" multipleFieldFilters="0" chartFormat="8">
  <location ref="B16:D20" firstHeaderRow="0" firstDataRow="1" firstDataCol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44" showAll="0"/>
    <pivotField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dataField="1" numFmtId="44" showAll="0" sumSubtotal="1"/>
    <pivotField dataField="1" numFmtId="44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Coupon Value" fld="11" baseField="0" baseItem="0"/>
    <dataField name="Soma de Total Value" fld="12" baseField="0" baseItem="0"/>
  </dataFields>
  <formats count="5">
    <format dxfId="474">
      <pivotArea grandRow="1" outline="0" collapsedLevelsAreSubtotals="1" fieldPosition="0"/>
    </format>
    <format dxfId="473">
      <pivotArea grandRow="1" outline="0" collapsedLevelsAreSubtotals="1" fieldPosition="0"/>
    </format>
    <format dxfId="472">
      <pivotArea outline="0" collapsedLevelsAreSubtotals="1" fieldPosition="0"/>
    </format>
    <format dxfId="471">
      <pivotArea outline="0" collapsedLevelsAreSubtotals="1" fieldPosition="0"/>
    </format>
    <format dxfId="470">
      <pivotArea outline="0" collapsedLevelsAreSubtotals="1" fieldPosition="0"/>
    </format>
  </formats>
  <chartFormats count="18">
    <chartFormat chart="5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6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7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dateBetween" evalOrder="-1" id="32" name="Start Date">
      <autoFilter ref="A1">
        <filterColumn colId="0">
          <customFilters and="1">
            <customFilter operator="greaterThanOrEqual" val="45292"/>
            <customFilter operator="lessThanOrEqual" val="4538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B10:C14" firstHeaderRow="1" firstDataRow="1" firstDataCol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44" showAll="0"/>
    <pivotField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Total Value" fld="12" subtotal="count" baseField="2" baseItem="0" numFmtId="1"/>
  </dataFields>
  <formats count="6">
    <format dxfId="480">
      <pivotArea grandRow="1" outline="0" collapsedLevelsAreSubtotals="1" fieldPosition="0"/>
    </format>
    <format dxfId="479">
      <pivotArea collapsedLevelsAreSubtotals="1" fieldPosition="0">
        <references count="1">
          <reference field="2" count="0"/>
        </references>
      </pivotArea>
    </format>
    <format dxfId="478">
      <pivotArea collapsedLevelsAreSubtotals="1" fieldPosition="0">
        <references count="1">
          <reference field="2" count="0"/>
        </references>
      </pivotArea>
    </format>
    <format dxfId="477">
      <pivotArea grandRow="1" outline="0" collapsedLevelsAreSubtotals="1" fieldPosition="0"/>
    </format>
    <format dxfId="476">
      <pivotArea outline="0" collapsedLevelsAreSubtotals="1" fieldPosition="0"/>
    </format>
    <format dxfId="47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B36:F49" firstHeaderRow="1" firstDataRow="2" firstDataCol="1" rowPageCount="1" colPageCount="1"/>
  <pivotFields count="14">
    <pivotField showAll="0"/>
    <pivotField showAll="0"/>
    <pivotField axis="axisCol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3"/>
  </rowFields>
  <rowItems count="12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ntagem de Total Value" fld="12" subtotal="count" baseField="2" baseItem="0"/>
  </dataFields>
  <formats count="6">
    <format dxfId="486">
      <pivotArea grandRow="1" outline="0" collapsedLevelsAreSubtotals="1" fieldPosition="0"/>
    </format>
    <format dxfId="485">
      <pivotArea collapsedLevelsAreSubtotals="1" fieldPosition="0">
        <references count="1">
          <reference field="2" count="0"/>
        </references>
      </pivotArea>
    </format>
    <format dxfId="484">
      <pivotArea collapsedLevelsAreSubtotals="1" fieldPosition="0">
        <references count="1">
          <reference field="2" count="0"/>
        </references>
      </pivotArea>
    </format>
    <format dxfId="483">
      <pivotArea grandRow="1" outline="0" collapsedLevelsAreSubtotals="1" fieldPosition="0"/>
    </format>
    <format dxfId="482">
      <pivotArea outline="0" collapsedLevelsAreSubtotals="1" fieldPosition="0"/>
    </format>
    <format dxfId="481">
      <pivotArea outline="0" collapsedLevelsAreSubtotals="1" fieldPosition="0"/>
    </format>
  </formats>
  <chartFormats count="31">
    <chartFormat chart="3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" format="2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3" format="3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3" format="3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3" format="3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0"/>
          </reference>
        </references>
      </pivotArea>
    </chartFormat>
    <chartFormat chart="3" format="3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1"/>
          </reference>
        </references>
      </pivotArea>
    </chartFormat>
    <chartFormat chart="3" format="3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2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2" format="3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0"/>
          </reference>
        </references>
      </pivotArea>
    </chartFormat>
    <chartFormat chart="2" format="3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1"/>
          </reference>
        </references>
      </pivotArea>
    </chartFormat>
    <chartFormat chart="2" format="3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2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B4:C8" firstHeaderRow="1" firstDataRow="1" firstDataCol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44" showAll="0"/>
    <pivotField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2" baseItem="0"/>
  </dataFields>
  <formats count="2">
    <format dxfId="488">
      <pivotArea grandRow="1" outline="0" collapsedLevelsAreSubtotals="1" fieldPosition="0"/>
    </format>
    <format dxfId="487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abela dinâmica1"/>
    <pivotTable tabId="3" name="Tabela dinâmica3"/>
    <pivotTable tabId="3" name="Tabela dinâmica5"/>
    <pivotTable tabId="3" name="Tabela dinâmica6"/>
    <pivotTable tabId="3" name="Tabela dinâmica7"/>
  </pivotTables>
  <data>
    <tabular pivotCacheId="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id="1" name="Tabela1" displayName="Tabela1" ref="A1:M296" totalsRowShown="0" dataDxfId="502">
  <autoFilter ref="A1:M296"/>
  <tableColumns count="13">
    <tableColumn id="1" name="Subscriber ID" dataDxfId="501"/>
    <tableColumn id="2" name="Name" dataDxfId="500"/>
    <tableColumn id="3" name="Plan" dataDxfId="499"/>
    <tableColumn id="4" name="Start Date" dataDxfId="498"/>
    <tableColumn id="5" name="Auto Renewal" dataDxfId="497"/>
    <tableColumn id="6" name="Subscription Price" dataDxfId="496" dataCellStyle="Moeda"/>
    <tableColumn id="7" name="Subscription Type" dataDxfId="495"/>
    <tableColumn id="8" name="EA Play Season Pass" dataDxfId="494"/>
    <tableColumn id="13" name="EA Play Season Pass_x000a_Price" dataDxfId="493" dataCellStyle="Moeda"/>
    <tableColumn id="9" name="Minecraft Season Pass" dataDxfId="492"/>
    <tableColumn id="10" name="Minecraft Season Pass Price" dataDxfId="491" dataCellStyle="Moeda"/>
    <tableColumn id="11" name="Coupon Value" dataDxfId="490" dataCellStyle="Moeda"/>
    <tableColumn id="12" name="Total Value" dataDxfId="489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zoomScaleNormal="100" workbookViewId="0">
      <selection activeCell="F18" sqref="F18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activeCell="G1" sqref="G1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4:H49"/>
  <sheetViews>
    <sheetView showGridLines="0" topLeftCell="A43" workbookViewId="0">
      <selection activeCell="D46" sqref="D46"/>
    </sheetView>
  </sheetViews>
  <sheetFormatPr defaultRowHeight="14.25"/>
  <cols>
    <col min="2" max="2" width="15.625" customWidth="1"/>
    <col min="3" max="3" width="35.125" customWidth="1"/>
    <col min="4" max="4" width="27.875" customWidth="1"/>
    <col min="5" max="5" width="8.125" customWidth="1"/>
    <col min="6" max="6" width="10.75" customWidth="1"/>
    <col min="7" max="7" width="5.625" customWidth="1"/>
    <col min="8" max="8" width="5.375" customWidth="1"/>
    <col min="9" max="9" width="4.75" customWidth="1"/>
    <col min="10" max="10" width="5.875" customWidth="1"/>
    <col min="11" max="11" width="5.375" customWidth="1"/>
    <col min="12" max="12" width="5.5" customWidth="1"/>
    <col min="13" max="13" width="6" customWidth="1"/>
    <col min="14" max="14" width="5.875" customWidth="1"/>
    <col min="15" max="15" width="10.75" customWidth="1"/>
    <col min="16" max="16" width="4.125" customWidth="1"/>
    <col min="17" max="17" width="3.75" customWidth="1"/>
    <col min="18" max="18" width="3.875" customWidth="1"/>
    <col min="19" max="19" width="3.625" customWidth="1"/>
    <col min="20" max="20" width="3" customWidth="1"/>
    <col min="21" max="21" width="4.125" customWidth="1"/>
    <col min="22" max="22" width="3.625" customWidth="1"/>
    <col min="23" max="23" width="3.75" customWidth="1"/>
    <col min="24" max="24" width="4.25" customWidth="1"/>
    <col min="25" max="25" width="4.125" customWidth="1"/>
    <col min="26" max="26" width="14" customWidth="1"/>
    <col min="27" max="27" width="9.875" customWidth="1"/>
    <col min="28" max="28" width="3.75" customWidth="1"/>
    <col min="29" max="29" width="4.125" customWidth="1"/>
    <col min="30" max="30" width="3.75" customWidth="1"/>
    <col min="31" max="31" width="3.875" customWidth="1"/>
    <col min="32" max="32" width="3.625" customWidth="1"/>
    <col min="33" max="33" width="3" customWidth="1"/>
    <col min="34" max="34" width="4.125" customWidth="1"/>
    <col min="35" max="35" width="3.625" customWidth="1"/>
    <col min="36" max="36" width="3.75" customWidth="1"/>
    <col min="37" max="37" width="4.25" customWidth="1"/>
    <col min="38" max="38" width="4.125" customWidth="1"/>
    <col min="39" max="39" width="13.25" customWidth="1"/>
    <col min="40" max="40" width="10.75" customWidth="1"/>
    <col min="41" max="296" width="19.5" customWidth="1"/>
    <col min="297" max="589" width="19.5" bestFit="1" customWidth="1"/>
    <col min="590" max="590" width="24.375" bestFit="1" customWidth="1"/>
    <col min="591" max="591" width="22.375" bestFit="1" customWidth="1"/>
  </cols>
  <sheetData>
    <row r="4" spans="2:8">
      <c r="B4" s="12" t="s">
        <v>313</v>
      </c>
      <c r="C4" t="s">
        <v>315</v>
      </c>
    </row>
    <row r="5" spans="2:8">
      <c r="B5" s="13" t="s">
        <v>22</v>
      </c>
      <c r="C5" s="14">
        <v>132</v>
      </c>
    </row>
    <row r="6" spans="2:8">
      <c r="B6" s="13" t="s">
        <v>26</v>
      </c>
      <c r="C6" s="14">
        <v>395</v>
      </c>
    </row>
    <row r="7" spans="2:8">
      <c r="B7" s="13" t="s">
        <v>18</v>
      </c>
      <c r="C7" s="14">
        <v>1781</v>
      </c>
    </row>
    <row r="8" spans="2:8">
      <c r="B8" s="13" t="s">
        <v>314</v>
      </c>
      <c r="C8" s="14">
        <v>2308</v>
      </c>
      <c r="F8" s="22" t="s">
        <v>321</v>
      </c>
      <c r="G8" s="22"/>
      <c r="H8" s="17">
        <f>GETPIVOTDATA("Total Value",$B$4)</f>
        <v>2308</v>
      </c>
    </row>
    <row r="10" spans="2:8">
      <c r="B10" s="12" t="s">
        <v>313</v>
      </c>
      <c r="C10" t="s">
        <v>316</v>
      </c>
    </row>
    <row r="11" spans="2:8">
      <c r="B11" s="13" t="s">
        <v>22</v>
      </c>
      <c r="C11" s="15">
        <v>28</v>
      </c>
      <c r="F11" t="s">
        <v>320</v>
      </c>
      <c r="G11" s="17">
        <f>GETPIVOTDATA("Total Value",$B$4)/GETPIVOTDATA("Total Value",$B$10)</f>
        <v>27.152941176470588</v>
      </c>
    </row>
    <row r="12" spans="2:8">
      <c r="B12" s="13" t="s">
        <v>26</v>
      </c>
      <c r="C12" s="15">
        <v>24</v>
      </c>
    </row>
    <row r="13" spans="2:8">
      <c r="B13" s="13" t="s">
        <v>18</v>
      </c>
      <c r="C13" s="15">
        <v>33</v>
      </c>
    </row>
    <row r="14" spans="2:8">
      <c r="B14" s="13" t="s">
        <v>314</v>
      </c>
      <c r="C14" s="15">
        <v>85</v>
      </c>
    </row>
    <row r="16" spans="2:8">
      <c r="B16" s="12" t="s">
        <v>313</v>
      </c>
      <c r="C16" t="s">
        <v>317</v>
      </c>
      <c r="D16" t="s">
        <v>315</v>
      </c>
    </row>
    <row r="17" spans="2:4">
      <c r="B17" s="13" t="s">
        <v>22</v>
      </c>
      <c r="C17" s="14">
        <v>8</v>
      </c>
      <c r="D17" s="14">
        <v>132</v>
      </c>
    </row>
    <row r="18" spans="2:4">
      <c r="B18" s="13" t="s">
        <v>26</v>
      </c>
      <c r="C18" s="14">
        <v>325</v>
      </c>
      <c r="D18" s="14">
        <v>395</v>
      </c>
    </row>
    <row r="19" spans="2:4">
      <c r="B19" s="13" t="s">
        <v>18</v>
      </c>
      <c r="C19" s="14">
        <v>364</v>
      </c>
      <c r="D19" s="14">
        <v>1781</v>
      </c>
    </row>
    <row r="20" spans="2:4">
      <c r="B20" s="13" t="s">
        <v>314</v>
      </c>
      <c r="C20" s="14">
        <v>697</v>
      </c>
      <c r="D20" s="14">
        <v>2308</v>
      </c>
    </row>
    <row r="26" spans="2:4">
      <c r="B26" s="12" t="s">
        <v>16</v>
      </c>
      <c r="C26" t="s">
        <v>27</v>
      </c>
    </row>
    <row r="28" spans="2:4">
      <c r="C28" s="24" t="s">
        <v>319</v>
      </c>
      <c r="D28" s="24" t="s">
        <v>318</v>
      </c>
    </row>
    <row r="29" spans="2:4">
      <c r="B29" s="13" t="s">
        <v>22</v>
      </c>
      <c r="C29" s="24">
        <v>0</v>
      </c>
      <c r="D29" s="24">
        <v>0</v>
      </c>
    </row>
    <row r="30" spans="2:4">
      <c r="B30" s="13" t="s">
        <v>26</v>
      </c>
      <c r="C30" s="24">
        <v>480</v>
      </c>
      <c r="D30" s="24">
        <v>0</v>
      </c>
    </row>
    <row r="31" spans="2:4">
      <c r="B31" s="13" t="s">
        <v>18</v>
      </c>
      <c r="C31" s="24">
        <v>660</v>
      </c>
      <c r="D31" s="24">
        <v>990</v>
      </c>
    </row>
    <row r="32" spans="2:4">
      <c r="B32" s="13" t="s">
        <v>314</v>
      </c>
      <c r="C32" s="24">
        <v>1140</v>
      </c>
      <c r="D32" s="24">
        <v>990</v>
      </c>
    </row>
    <row r="34" spans="2:6">
      <c r="B34" s="12" t="s">
        <v>16</v>
      </c>
      <c r="C34" t="s">
        <v>27</v>
      </c>
    </row>
    <row r="36" spans="2:6">
      <c r="B36" s="12" t="s">
        <v>316</v>
      </c>
      <c r="C36" s="12" t="s">
        <v>334</v>
      </c>
    </row>
    <row r="37" spans="2:6">
      <c r="B37" s="12" t="s">
        <v>313</v>
      </c>
      <c r="C37" t="s">
        <v>22</v>
      </c>
      <c r="D37" t="s">
        <v>26</v>
      </c>
      <c r="E37" t="s">
        <v>18</v>
      </c>
      <c r="F37" t="s">
        <v>314</v>
      </c>
    </row>
    <row r="38" spans="2:6">
      <c r="B38" s="13" t="s">
        <v>333</v>
      </c>
      <c r="C38" s="15"/>
      <c r="D38" s="15">
        <v>1</v>
      </c>
      <c r="E38" s="15"/>
      <c r="F38" s="15">
        <v>1</v>
      </c>
    </row>
    <row r="39" spans="2:6">
      <c r="B39" s="13" t="s">
        <v>323</v>
      </c>
      <c r="C39" s="15">
        <v>2</v>
      </c>
      <c r="D39" s="15">
        <v>3</v>
      </c>
      <c r="E39" s="15">
        <v>3</v>
      </c>
      <c r="F39" s="15">
        <v>8</v>
      </c>
    </row>
    <row r="40" spans="2:6">
      <c r="B40" s="13" t="s">
        <v>324</v>
      </c>
      <c r="C40" s="15">
        <v>3</v>
      </c>
      <c r="D40" s="15">
        <v>2</v>
      </c>
      <c r="E40" s="15">
        <v>4</v>
      </c>
      <c r="F40" s="15">
        <v>9</v>
      </c>
    </row>
    <row r="41" spans="2:6">
      <c r="B41" s="13" t="s">
        <v>325</v>
      </c>
      <c r="C41" s="15">
        <v>3</v>
      </c>
      <c r="D41" s="15">
        <v>3</v>
      </c>
      <c r="E41" s="15">
        <v>4</v>
      </c>
      <c r="F41" s="15">
        <v>10</v>
      </c>
    </row>
    <row r="42" spans="2:6">
      <c r="B42" s="13" t="s">
        <v>326</v>
      </c>
      <c r="C42" s="15">
        <v>3</v>
      </c>
      <c r="D42" s="15">
        <v>3</v>
      </c>
      <c r="E42" s="15">
        <v>4</v>
      </c>
      <c r="F42" s="15">
        <v>10</v>
      </c>
    </row>
    <row r="43" spans="2:6">
      <c r="B43" s="13" t="s">
        <v>327</v>
      </c>
      <c r="C43" s="15">
        <v>3</v>
      </c>
      <c r="D43" s="15">
        <v>2</v>
      </c>
      <c r="E43" s="15">
        <v>4</v>
      </c>
      <c r="F43" s="15">
        <v>9</v>
      </c>
    </row>
    <row r="44" spans="2:6">
      <c r="B44" s="13" t="s">
        <v>328</v>
      </c>
      <c r="C44" s="15">
        <v>4</v>
      </c>
      <c r="D44" s="15">
        <v>2</v>
      </c>
      <c r="E44" s="15">
        <v>3</v>
      </c>
      <c r="F44" s="15">
        <v>9</v>
      </c>
    </row>
    <row r="45" spans="2:6">
      <c r="B45" s="13" t="s">
        <v>329</v>
      </c>
      <c r="C45" s="15">
        <v>3</v>
      </c>
      <c r="D45" s="15">
        <v>2</v>
      </c>
      <c r="E45" s="15">
        <v>4</v>
      </c>
      <c r="F45" s="15">
        <v>9</v>
      </c>
    </row>
    <row r="46" spans="2:6">
      <c r="B46" s="13" t="s">
        <v>330</v>
      </c>
      <c r="C46" s="15">
        <v>2</v>
      </c>
      <c r="D46" s="15">
        <v>2</v>
      </c>
      <c r="E46" s="15">
        <v>3</v>
      </c>
      <c r="F46" s="15">
        <v>7</v>
      </c>
    </row>
    <row r="47" spans="2:6">
      <c r="B47" s="13" t="s">
        <v>331</v>
      </c>
      <c r="C47" s="15">
        <v>3</v>
      </c>
      <c r="D47" s="15">
        <v>3</v>
      </c>
      <c r="E47" s="15">
        <v>3</v>
      </c>
      <c r="F47" s="15">
        <v>9</v>
      </c>
    </row>
    <row r="48" spans="2:6">
      <c r="B48" s="13" t="s">
        <v>332</v>
      </c>
      <c r="C48" s="15">
        <v>2</v>
      </c>
      <c r="D48" s="15">
        <v>1</v>
      </c>
      <c r="E48" s="15">
        <v>1</v>
      </c>
      <c r="F48" s="15">
        <v>4</v>
      </c>
    </row>
    <row r="49" spans="2:6">
      <c r="B49" s="13" t="s">
        <v>314</v>
      </c>
      <c r="C49" s="15">
        <v>28</v>
      </c>
      <c r="D49" s="15">
        <v>24</v>
      </c>
      <c r="E49" s="15">
        <v>33</v>
      </c>
      <c r="F49" s="15">
        <v>85</v>
      </c>
    </row>
  </sheetData>
  <mergeCells count="1">
    <mergeCell ref="F8:G8"/>
  </mergeCells>
  <pageMargins left="0.511811024" right="0.511811024" top="0.78740157499999996" bottom="0.78740157499999996" header="0.31496062000000002" footer="0.31496062000000002"/>
  <pageSetup paperSize="9" orientation="portrait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0"/>
  <sheetViews>
    <sheetView showGridLines="0" tabSelected="1" zoomScale="80" zoomScaleNormal="80" workbookViewId="0">
      <selection activeCell="B10" sqref="B10"/>
    </sheetView>
  </sheetViews>
  <sheetFormatPr defaultRowHeight="14.25"/>
  <cols>
    <col min="1" max="1" width="20" style="20" customWidth="1"/>
    <col min="2" max="2" width="3.25" style="7" customWidth="1"/>
    <col min="3" max="11" width="9" style="7"/>
    <col min="12" max="12" width="6.625" style="7" customWidth="1"/>
    <col min="13" max="16384" width="9" style="7"/>
  </cols>
  <sheetData>
    <row r="1" spans="1:59" s="18" customFormat="1">
      <c r="A1" s="20"/>
    </row>
    <row r="2" spans="1:59" s="18" customFormat="1" ht="31.5" customHeight="1" thickBot="1">
      <c r="A2" s="20"/>
      <c r="C2" s="23" t="s">
        <v>322</v>
      </c>
      <c r="D2" s="23"/>
      <c r="E2" s="23"/>
      <c r="F2" s="23"/>
      <c r="G2" s="23"/>
      <c r="H2" s="23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</row>
    <row r="3" spans="1:59" s="18" customFormat="1" ht="15.75" customHeight="1" thickTop="1">
      <c r="A3" s="20"/>
      <c r="I3" s="19"/>
    </row>
    <row r="4" spans="1:59" ht="8.25" customHeight="1"/>
    <row r="5" spans="1:59" ht="7.5" customHeight="1"/>
    <row r="6" spans="1:59" ht="10.5" customHeight="1"/>
    <row r="7" spans="1:59" ht="9.75" customHeight="1"/>
    <row r="8" spans="1:59" ht="33" customHeight="1"/>
    <row r="11" spans="1:59">
      <c r="L11" s="16"/>
      <c r="M11" s="16"/>
      <c r="N11" s="16"/>
      <c r="O11" s="16"/>
      <c r="P11" s="16"/>
    </row>
    <row r="12" spans="1:59">
      <c r="L12" s="16"/>
      <c r="M12" s="16"/>
      <c r="N12" s="16"/>
      <c r="O12" s="16"/>
      <c r="P12" s="16"/>
    </row>
    <row r="13" spans="1:59">
      <c r="L13" s="16"/>
      <c r="M13" s="16"/>
      <c r="N13" s="16"/>
      <c r="O13" s="16"/>
      <c r="P13" s="16"/>
    </row>
    <row r="14" spans="1:59">
      <c r="L14" s="16"/>
      <c r="M14" s="16"/>
      <c r="N14" s="16"/>
      <c r="O14" s="16"/>
      <c r="P14" s="16"/>
    </row>
    <row r="15" spans="1:59">
      <c r="L15" s="16"/>
      <c r="M15" s="16"/>
      <c r="N15" s="16"/>
      <c r="O15" s="16"/>
      <c r="P15" s="16"/>
    </row>
    <row r="16" spans="1:59">
      <c r="L16" s="16"/>
      <c r="M16" s="16"/>
      <c r="N16" s="16"/>
      <c r="O16" s="16"/>
      <c r="P16" s="16"/>
    </row>
    <row r="17" spans="12:16">
      <c r="L17" s="16"/>
      <c r="M17" s="16"/>
      <c r="N17" s="16"/>
      <c r="O17" s="16"/>
      <c r="P17" s="16"/>
    </row>
    <row r="18" spans="12:16">
      <c r="L18" s="16"/>
      <c r="M18" s="16"/>
      <c r="N18" s="16"/>
      <c r="O18" s="16"/>
      <c r="P18" s="16"/>
    </row>
    <row r="19" spans="12:16">
      <c r="L19" s="16"/>
      <c r="M19" s="16"/>
      <c r="N19" s="16"/>
      <c r="O19" s="16"/>
      <c r="P19" s="16"/>
    </row>
    <row r="20" spans="12:16">
      <c r="L20" s="16"/>
      <c r="M20" s="16"/>
      <c r="N20" s="16"/>
      <c r="O20" s="16"/>
      <c r="P20" s="16"/>
    </row>
  </sheetData>
  <mergeCells count="1">
    <mergeCell ref="C2:H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Mateus Neto</cp:lastModifiedBy>
  <dcterms:created xsi:type="dcterms:W3CDTF">2024-12-19T13:13:10Z</dcterms:created>
  <dcterms:modified xsi:type="dcterms:W3CDTF">2026-01-21T05:28:18Z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